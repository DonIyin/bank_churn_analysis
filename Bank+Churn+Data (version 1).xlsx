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45314DFB-17CE-4D31-8B29-278C1B40D3FD}" xr6:coauthVersionLast="47" xr6:coauthVersionMax="47" xr10:uidLastSave="{00000000-0000-0000-0000-000000000000}"/>
  <bookViews>
    <workbookView xWindow="9510" yWindow="0" windowWidth="9780" windowHeight="10890" firstSheet="5" activeTab="7" xr2:uid="{00000000-000D-0000-FFFF-FFFF00000000}"/>
  </bookViews>
  <sheets>
    <sheet name="Q1" sheetId="2" r:id="rId1"/>
    <sheet name="Q2" sheetId="3" r:id="rId2"/>
    <sheet name="Q3" sheetId="4" r:id="rId3"/>
    <sheet name="Q4" sheetId="5" r:id="rId4"/>
    <sheet name="Q5" sheetId="6" r:id="rId5"/>
    <sheet name="RQ1" sheetId="7" r:id="rId6"/>
    <sheet name="RQ2" sheetId="8" r:id="rId7"/>
    <sheet name="Sheet1" sheetId="1" r:id="rId8"/>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a="1"/>
  <c r="U3" i="1" s="1"/>
  <c r="V3" i="1" a="1"/>
  <c r="V3" i="1"/>
  <c r="W3" i="1" a="1"/>
  <c r="W3" i="1" s="1"/>
  <c r="U4" i="1" a="1"/>
  <c r="U4" i="1" s="1"/>
  <c r="V4" i="1" a="1"/>
  <c r="V4" i="1" s="1"/>
  <c r="W4" i="1" a="1"/>
  <c r="W4" i="1" s="1"/>
  <c r="U5" i="1" a="1"/>
  <c r="U5" i="1" s="1"/>
  <c r="V5" i="1" a="1"/>
  <c r="V5" i="1"/>
  <c r="W5" i="1" a="1"/>
  <c r="W5" i="1" s="1"/>
  <c r="U6" i="1" a="1"/>
  <c r="U6" i="1" s="1"/>
  <c r="V6" i="1" a="1"/>
  <c r="V6" i="1" s="1"/>
  <c r="W6" i="1" a="1"/>
  <c r="W6" i="1" s="1"/>
  <c r="U7" i="1" a="1"/>
  <c r="U7" i="1" s="1"/>
  <c r="V7" i="1" a="1"/>
  <c r="V7" i="1" s="1"/>
  <c r="W7" i="1" a="1"/>
  <c r="W7" i="1" s="1"/>
  <c r="U8" i="1" a="1"/>
  <c r="U8" i="1"/>
  <c r="V8" i="1" a="1"/>
  <c r="V8" i="1" s="1"/>
  <c r="W8" i="1" a="1"/>
  <c r="W8" i="1" s="1"/>
  <c r="U9" i="1" a="1"/>
  <c r="U9" i="1" s="1"/>
  <c r="V9" i="1" a="1"/>
  <c r="V9" i="1" s="1"/>
  <c r="W9" i="1" a="1"/>
  <c r="W9" i="1" s="1"/>
  <c r="U10" i="1" a="1"/>
  <c r="U10" i="1" s="1"/>
  <c r="V10" i="1" a="1"/>
  <c r="V10" i="1" s="1"/>
  <c r="W10" i="1" a="1"/>
  <c r="W10" i="1"/>
  <c r="U11" i="1" a="1"/>
  <c r="U11" i="1" s="1"/>
  <c r="V11" i="1" a="1"/>
  <c r="V11" i="1" s="1"/>
  <c r="W11" i="1" a="1"/>
  <c r="W11" i="1" s="1"/>
  <c r="U12" i="1" a="1"/>
  <c r="U12" i="1" s="1"/>
  <c r="V12" i="1" a="1"/>
  <c r="V12" i="1" s="1"/>
  <c r="W12" i="1" a="1"/>
  <c r="W12" i="1" s="1"/>
  <c r="U13" i="1" a="1"/>
  <c r="U13" i="1" s="1"/>
  <c r="V13" i="1" a="1"/>
  <c r="V13" i="1"/>
  <c r="W13" i="1" a="1"/>
  <c r="W13" i="1" s="1"/>
  <c r="U14" i="1" a="1"/>
  <c r="U14" i="1" s="1"/>
  <c r="V14" i="1" a="1"/>
  <c r="V14" i="1" s="1"/>
  <c r="W14" i="1" a="1"/>
  <c r="W14" i="1" s="1"/>
  <c r="U15" i="1" a="1"/>
  <c r="U15" i="1" s="1"/>
  <c r="V15" i="1" a="1"/>
  <c r="V15" i="1" s="1"/>
  <c r="W15" i="1" a="1"/>
  <c r="W15" i="1" s="1"/>
  <c r="U16" i="1" a="1"/>
  <c r="U16" i="1"/>
  <c r="V16" i="1" a="1"/>
  <c r="V16" i="1" s="1"/>
  <c r="W16" i="1" a="1"/>
  <c r="W16" i="1" s="1"/>
  <c r="U17" i="1" a="1"/>
  <c r="U17" i="1" s="1"/>
  <c r="V17" i="1" a="1"/>
  <c r="V17" i="1" s="1"/>
  <c r="W17" i="1" a="1"/>
  <c r="W17" i="1" s="1"/>
  <c r="U18" i="1" a="1"/>
  <c r="U18" i="1" s="1"/>
  <c r="V18" i="1" a="1"/>
  <c r="V18" i="1" s="1"/>
  <c r="W18" i="1" a="1"/>
  <c r="W18" i="1"/>
  <c r="U19" i="1" a="1"/>
  <c r="U19" i="1" s="1"/>
  <c r="V19" i="1" a="1"/>
  <c r="V19" i="1" s="1"/>
  <c r="W19" i="1" a="1"/>
  <c r="W19" i="1" s="1"/>
  <c r="U20" i="1" a="1"/>
  <c r="U20" i="1" s="1"/>
  <c r="V20" i="1" a="1"/>
  <c r="V20" i="1" s="1"/>
  <c r="W20" i="1" a="1"/>
  <c r="W20" i="1" s="1"/>
  <c r="U21" i="1" a="1"/>
  <c r="U21" i="1" s="1"/>
  <c r="V21" i="1" a="1"/>
  <c r="V21" i="1"/>
  <c r="W21" i="1" a="1"/>
  <c r="W21" i="1" s="1"/>
  <c r="U22" i="1" a="1"/>
  <c r="U22" i="1" s="1"/>
  <c r="V22" i="1" a="1"/>
  <c r="V22" i="1" s="1"/>
  <c r="W22" i="1" a="1"/>
  <c r="W22" i="1" s="1"/>
  <c r="U23" i="1" a="1"/>
  <c r="U23" i="1" s="1"/>
  <c r="V23" i="1" a="1"/>
  <c r="V23" i="1" s="1"/>
  <c r="W23" i="1" a="1"/>
  <c r="W23" i="1" s="1"/>
  <c r="U24" i="1" a="1"/>
  <c r="U24" i="1"/>
  <c r="V24" i="1" a="1"/>
  <c r="V24" i="1" s="1"/>
  <c r="W24" i="1" a="1"/>
  <c r="W24" i="1" s="1"/>
  <c r="U25" i="1" a="1"/>
  <c r="U25" i="1" s="1"/>
  <c r="V25" i="1" a="1"/>
  <c r="V25" i="1" s="1"/>
  <c r="W25" i="1" a="1"/>
  <c r="W25" i="1" s="1"/>
  <c r="U26" i="1" a="1"/>
  <c r="U26" i="1" s="1"/>
  <c r="V26" i="1" a="1"/>
  <c r="V26" i="1" s="1"/>
  <c r="W26" i="1" a="1"/>
  <c r="W26" i="1"/>
  <c r="U27" i="1" a="1"/>
  <c r="U27" i="1" s="1"/>
  <c r="V27" i="1" a="1"/>
  <c r="V27" i="1" s="1"/>
  <c r="W27" i="1" a="1"/>
  <c r="W27" i="1" s="1"/>
  <c r="U28" i="1" a="1"/>
  <c r="U28" i="1" s="1"/>
  <c r="V28" i="1" a="1"/>
  <c r="V28" i="1" s="1"/>
  <c r="W28" i="1" a="1"/>
  <c r="W28" i="1" s="1"/>
  <c r="U29" i="1" a="1"/>
  <c r="U29" i="1" s="1"/>
  <c r="V29" i="1" a="1"/>
  <c r="V29" i="1"/>
  <c r="W29" i="1" a="1"/>
  <c r="W29" i="1" s="1"/>
  <c r="U30" i="1" a="1"/>
  <c r="U30" i="1"/>
  <c r="V30" i="1" a="1"/>
  <c r="V30" i="1" s="1"/>
  <c r="W30" i="1" a="1"/>
  <c r="W30" i="1" s="1"/>
  <c r="U31" i="1" a="1"/>
  <c r="U31" i="1" s="1"/>
  <c r="V31" i="1" a="1"/>
  <c r="V31" i="1" s="1"/>
  <c r="W31" i="1" a="1"/>
  <c r="W31" i="1" s="1"/>
  <c r="U32" i="1" a="1"/>
  <c r="U32" i="1"/>
  <c r="V32" i="1" a="1"/>
  <c r="V32" i="1" s="1"/>
  <c r="W32" i="1" a="1"/>
  <c r="W32" i="1"/>
  <c r="U33" i="1" a="1"/>
  <c r="U33" i="1" s="1"/>
  <c r="V33" i="1" a="1"/>
  <c r="V33" i="1" s="1"/>
  <c r="W33" i="1" a="1"/>
  <c r="W33" i="1" s="1"/>
  <c r="U34" i="1" a="1"/>
  <c r="U34" i="1" s="1"/>
  <c r="V34" i="1" a="1"/>
  <c r="V34" i="1" s="1"/>
  <c r="W34" i="1" a="1"/>
  <c r="W34" i="1"/>
  <c r="U35" i="1" a="1"/>
  <c r="U35" i="1" s="1"/>
  <c r="V35" i="1" a="1"/>
  <c r="V35" i="1"/>
  <c r="W35" i="1" a="1"/>
  <c r="W35" i="1" s="1"/>
  <c r="U36" i="1" a="1"/>
  <c r="U36" i="1" s="1"/>
  <c r="V36" i="1" a="1"/>
  <c r="V36" i="1" s="1"/>
  <c r="W36" i="1" a="1"/>
  <c r="W36" i="1" s="1"/>
  <c r="U37" i="1" a="1"/>
  <c r="U37" i="1" s="1"/>
  <c r="V37" i="1" a="1"/>
  <c r="V37" i="1"/>
  <c r="W37" i="1" a="1"/>
  <c r="W37" i="1" s="1"/>
  <c r="U38" i="1" a="1"/>
  <c r="U38" i="1"/>
  <c r="V38" i="1" a="1"/>
  <c r="V38" i="1" s="1"/>
  <c r="W38" i="1" a="1"/>
  <c r="W38" i="1" s="1"/>
  <c r="U39" i="1" a="1"/>
  <c r="U39" i="1" s="1"/>
  <c r="V39" i="1" a="1"/>
  <c r="V39" i="1" s="1"/>
  <c r="W39" i="1" a="1"/>
  <c r="W39" i="1" s="1"/>
  <c r="U40" i="1" a="1"/>
  <c r="U40" i="1" s="1"/>
  <c r="V40" i="1" a="1"/>
  <c r="V40" i="1" s="1"/>
  <c r="W40" i="1" a="1"/>
  <c r="W40" i="1"/>
  <c r="U41" i="1" a="1"/>
  <c r="U41" i="1" s="1"/>
  <c r="V41" i="1" a="1"/>
  <c r="V41" i="1" s="1"/>
  <c r="W41" i="1" a="1"/>
  <c r="W41" i="1" s="1"/>
  <c r="U42" i="1" a="1"/>
  <c r="U42" i="1" s="1"/>
  <c r="V42" i="1" a="1"/>
  <c r="V42" i="1" s="1"/>
  <c r="W42" i="1" a="1"/>
  <c r="W42" i="1"/>
  <c r="U43" i="1" a="1"/>
  <c r="U43" i="1" s="1"/>
  <c r="V43" i="1" a="1"/>
  <c r="V43" i="1"/>
  <c r="W43" i="1" a="1"/>
  <c r="W43" i="1" s="1"/>
  <c r="U44" i="1" a="1"/>
  <c r="U44" i="1" s="1"/>
  <c r="V44" i="1" a="1"/>
  <c r="V44" i="1" s="1"/>
  <c r="W44" i="1" a="1"/>
  <c r="W44" i="1" s="1"/>
  <c r="U45" i="1" a="1"/>
  <c r="U45" i="1" s="1"/>
  <c r="V45" i="1" a="1"/>
  <c r="V45" i="1"/>
  <c r="W45" i="1" a="1"/>
  <c r="W45" i="1" s="1"/>
  <c r="U46" i="1" a="1"/>
  <c r="U46" i="1"/>
  <c r="V46" i="1" a="1"/>
  <c r="V46" i="1" s="1"/>
  <c r="W46" i="1" a="1"/>
  <c r="W46" i="1" s="1"/>
  <c r="U47" i="1" a="1"/>
  <c r="U47" i="1" s="1"/>
  <c r="V47" i="1" a="1"/>
  <c r="V47" i="1" s="1"/>
  <c r="W47" i="1" a="1"/>
  <c r="W47" i="1" s="1"/>
  <c r="U48" i="1" a="1"/>
  <c r="U48" i="1"/>
  <c r="V48" i="1" a="1"/>
  <c r="V48" i="1" s="1"/>
  <c r="W48" i="1" a="1"/>
  <c r="W48" i="1"/>
  <c r="U49" i="1" a="1"/>
  <c r="U49" i="1" s="1"/>
  <c r="V49" i="1" a="1"/>
  <c r="V49" i="1" s="1"/>
  <c r="W49" i="1" a="1"/>
  <c r="W49" i="1" s="1"/>
  <c r="U50" i="1" a="1"/>
  <c r="U50" i="1" s="1"/>
  <c r="V50" i="1" a="1"/>
  <c r="V50" i="1" s="1"/>
  <c r="W50" i="1" a="1"/>
  <c r="W50" i="1"/>
  <c r="U51" i="1" a="1"/>
  <c r="U51" i="1" s="1"/>
  <c r="V51" i="1" a="1"/>
  <c r="V51" i="1"/>
  <c r="W51" i="1" a="1"/>
  <c r="W51" i="1" s="1"/>
  <c r="U52" i="1" a="1"/>
  <c r="U52" i="1" s="1"/>
  <c r="V52" i="1" a="1"/>
  <c r="V52" i="1" s="1"/>
  <c r="W52" i="1" a="1"/>
  <c r="W52" i="1" s="1"/>
  <c r="U53" i="1" a="1"/>
  <c r="U53" i="1" s="1"/>
  <c r="V53" i="1" a="1"/>
  <c r="V53" i="1"/>
  <c r="W53" i="1" a="1"/>
  <c r="W53" i="1" s="1"/>
  <c r="U54" i="1" a="1"/>
  <c r="U54" i="1"/>
  <c r="V54" i="1" a="1"/>
  <c r="V54" i="1" s="1"/>
  <c r="W54" i="1" a="1"/>
  <c r="W54" i="1" s="1"/>
  <c r="U55" i="1" a="1"/>
  <c r="U55" i="1" s="1"/>
  <c r="V55" i="1" a="1"/>
  <c r="V55" i="1" s="1"/>
  <c r="W55" i="1" a="1"/>
  <c r="W55" i="1" s="1"/>
  <c r="U56" i="1" a="1"/>
  <c r="U56" i="1"/>
  <c r="V56" i="1" a="1"/>
  <c r="V56" i="1" s="1"/>
  <c r="W56" i="1" a="1"/>
  <c r="W56" i="1"/>
  <c r="U57" i="1" a="1"/>
  <c r="U57" i="1" s="1"/>
  <c r="V57" i="1" a="1"/>
  <c r="V57" i="1" s="1"/>
  <c r="W57" i="1" a="1"/>
  <c r="W57" i="1" s="1"/>
  <c r="U58" i="1" a="1"/>
  <c r="U58" i="1" s="1"/>
  <c r="V58" i="1" a="1"/>
  <c r="V58" i="1" s="1"/>
  <c r="W58" i="1" a="1"/>
  <c r="W58" i="1"/>
  <c r="U59" i="1" a="1"/>
  <c r="U59" i="1" s="1"/>
  <c r="V59" i="1" a="1"/>
  <c r="V59" i="1"/>
  <c r="W59" i="1" a="1"/>
  <c r="W59" i="1" s="1"/>
  <c r="U60" i="1" a="1"/>
  <c r="U60" i="1" s="1"/>
  <c r="V60" i="1" a="1"/>
  <c r="V60" i="1" s="1"/>
  <c r="W60" i="1" a="1"/>
  <c r="W60" i="1" s="1"/>
  <c r="U61" i="1" a="1"/>
  <c r="U61" i="1" s="1"/>
  <c r="V61" i="1" a="1"/>
  <c r="V61" i="1"/>
  <c r="W61" i="1" a="1"/>
  <c r="W61" i="1" s="1"/>
  <c r="U62" i="1" a="1"/>
  <c r="U62" i="1"/>
  <c r="V62" i="1" a="1"/>
  <c r="V62" i="1" s="1"/>
  <c r="W62" i="1" a="1"/>
  <c r="W62" i="1" s="1"/>
  <c r="U63" i="1" a="1"/>
  <c r="U63" i="1" s="1"/>
  <c r="V63" i="1" a="1"/>
  <c r="V63" i="1" s="1"/>
  <c r="W63" i="1" a="1"/>
  <c r="W63" i="1" s="1"/>
  <c r="U64" i="1" a="1"/>
  <c r="U64" i="1"/>
  <c r="V64" i="1" a="1"/>
  <c r="V64" i="1" s="1"/>
  <c r="W64" i="1" a="1"/>
  <c r="W64" i="1"/>
  <c r="U65" i="1" a="1"/>
  <c r="U65" i="1" s="1"/>
  <c r="V65" i="1" a="1"/>
  <c r="V65" i="1" s="1"/>
  <c r="W65" i="1" a="1"/>
  <c r="W65" i="1" s="1"/>
  <c r="U66" i="1" a="1"/>
  <c r="U66" i="1" s="1"/>
  <c r="V66" i="1" a="1"/>
  <c r="V66" i="1" s="1"/>
  <c r="W66" i="1" a="1"/>
  <c r="W66" i="1"/>
  <c r="U67" i="1" a="1"/>
  <c r="U67" i="1" s="1"/>
  <c r="V67" i="1" a="1"/>
  <c r="V67" i="1"/>
  <c r="W67" i="1" a="1"/>
  <c r="W67" i="1" s="1"/>
  <c r="U68" i="1" a="1"/>
  <c r="U68" i="1" s="1"/>
  <c r="V68" i="1" a="1"/>
  <c r="V68" i="1" s="1"/>
  <c r="W68" i="1" a="1"/>
  <c r="W68" i="1" s="1"/>
  <c r="U69" i="1" a="1"/>
  <c r="U69" i="1" s="1"/>
  <c r="V69" i="1" a="1"/>
  <c r="V69" i="1"/>
  <c r="W69" i="1" a="1"/>
  <c r="W69" i="1" s="1"/>
  <c r="U70" i="1" a="1"/>
  <c r="U70" i="1" s="1"/>
  <c r="V70" i="1" a="1"/>
  <c r="V70" i="1" s="1"/>
  <c r="W70" i="1" a="1"/>
  <c r="W70" i="1" s="1"/>
  <c r="U71" i="1" a="1"/>
  <c r="U71" i="1" s="1"/>
  <c r="V71" i="1" a="1"/>
  <c r="V71" i="1" s="1"/>
  <c r="W71" i="1" a="1"/>
  <c r="W71" i="1" s="1"/>
  <c r="U72" i="1" a="1"/>
  <c r="U72" i="1"/>
  <c r="V72" i="1" a="1"/>
  <c r="V72" i="1" s="1"/>
  <c r="W72" i="1" a="1"/>
  <c r="W72" i="1"/>
  <c r="U73" i="1" a="1"/>
  <c r="U73" i="1" s="1"/>
  <c r="V73" i="1" a="1"/>
  <c r="V73" i="1" s="1"/>
  <c r="W73" i="1" a="1"/>
  <c r="W73" i="1" s="1"/>
  <c r="U74" i="1" a="1"/>
  <c r="U74" i="1" s="1"/>
  <c r="V74" i="1" a="1"/>
  <c r="V74" i="1" s="1"/>
  <c r="W74" i="1" a="1"/>
  <c r="W74" i="1"/>
  <c r="U75" i="1" a="1"/>
  <c r="U75" i="1" s="1"/>
  <c r="V75" i="1" a="1"/>
  <c r="V75" i="1" s="1"/>
  <c r="W75" i="1" a="1"/>
  <c r="W75" i="1" s="1"/>
  <c r="U76" i="1" a="1"/>
  <c r="U76" i="1" s="1"/>
  <c r="V76" i="1" a="1"/>
  <c r="V76" i="1" s="1"/>
  <c r="W76" i="1" a="1"/>
  <c r="W76" i="1" s="1"/>
  <c r="U77" i="1" a="1"/>
  <c r="U77" i="1" s="1"/>
  <c r="V77" i="1" a="1"/>
  <c r="V77" i="1"/>
  <c r="W77" i="1" a="1"/>
  <c r="W77" i="1" s="1"/>
  <c r="U78" i="1" a="1"/>
  <c r="U78" i="1" s="1"/>
  <c r="V78" i="1" a="1"/>
  <c r="V78" i="1" s="1"/>
  <c r="W78" i="1" a="1"/>
  <c r="W78" i="1" s="1"/>
  <c r="U79" i="1" a="1"/>
  <c r="U79" i="1" s="1"/>
  <c r="V79" i="1" a="1"/>
  <c r="V79" i="1" s="1"/>
  <c r="W79" i="1" a="1"/>
  <c r="W79" i="1" s="1"/>
  <c r="U80" i="1" a="1"/>
  <c r="U80" i="1"/>
  <c r="V80" i="1" a="1"/>
  <c r="V80" i="1" s="1"/>
  <c r="W80" i="1" a="1"/>
  <c r="W80" i="1"/>
  <c r="U81" i="1" a="1"/>
  <c r="U81" i="1" s="1"/>
  <c r="V81" i="1" a="1"/>
  <c r="V81" i="1" s="1"/>
  <c r="W81" i="1" a="1"/>
  <c r="W81" i="1" s="1"/>
  <c r="U82" i="1" a="1"/>
  <c r="U82" i="1" s="1"/>
  <c r="V82" i="1" a="1"/>
  <c r="V82" i="1" s="1"/>
  <c r="W82" i="1" a="1"/>
  <c r="W82" i="1"/>
  <c r="U83" i="1" a="1"/>
  <c r="U83" i="1" s="1"/>
  <c r="V83" i="1" a="1"/>
  <c r="V83" i="1"/>
  <c r="W83" i="1" a="1"/>
  <c r="W83" i="1" s="1"/>
  <c r="U84" i="1" a="1"/>
  <c r="U84" i="1" s="1"/>
  <c r="V84" i="1" a="1"/>
  <c r="V84" i="1" s="1"/>
  <c r="W84" i="1" a="1"/>
  <c r="W84" i="1" s="1"/>
  <c r="U85" i="1" a="1"/>
  <c r="U85" i="1" s="1"/>
  <c r="V85" i="1" a="1"/>
  <c r="V85" i="1"/>
  <c r="W85" i="1" a="1"/>
  <c r="W85" i="1" s="1"/>
  <c r="U86" i="1" a="1"/>
  <c r="U86" i="1"/>
  <c r="V86" i="1" a="1"/>
  <c r="V86" i="1" s="1"/>
  <c r="W86" i="1" a="1"/>
  <c r="W86" i="1" s="1"/>
  <c r="U87" i="1" a="1"/>
  <c r="U87" i="1" s="1"/>
  <c r="V87" i="1" a="1"/>
  <c r="V87" i="1" s="1"/>
  <c r="W87" i="1" a="1"/>
  <c r="W87" i="1" s="1"/>
  <c r="U88" i="1" a="1"/>
  <c r="U88" i="1"/>
  <c r="V88" i="1" a="1"/>
  <c r="V88" i="1" s="1"/>
  <c r="W88" i="1" a="1"/>
  <c r="W88" i="1" s="1"/>
  <c r="U89" i="1" a="1"/>
  <c r="U89" i="1" s="1"/>
  <c r="V89" i="1" a="1"/>
  <c r="V89" i="1"/>
  <c r="W89" i="1" a="1"/>
  <c r="W89" i="1" s="1"/>
  <c r="U90" i="1" a="1"/>
  <c r="U90" i="1" s="1"/>
  <c r="V90" i="1" a="1"/>
  <c r="V90" i="1" s="1"/>
  <c r="W90" i="1" a="1"/>
  <c r="W90" i="1"/>
  <c r="U91" i="1" a="1"/>
  <c r="U91" i="1" s="1"/>
  <c r="V91" i="1" a="1"/>
  <c r="V91" i="1" s="1"/>
  <c r="W91" i="1" a="1"/>
  <c r="W91" i="1" s="1"/>
  <c r="U92" i="1" a="1"/>
  <c r="U92" i="1"/>
  <c r="V92" i="1" a="1"/>
  <c r="V92" i="1" s="1"/>
  <c r="W92" i="1" a="1"/>
  <c r="W92" i="1" s="1"/>
  <c r="U93" i="1" a="1"/>
  <c r="U93" i="1" s="1"/>
  <c r="V93" i="1" a="1"/>
  <c r="V93" i="1"/>
  <c r="W93" i="1" a="1"/>
  <c r="W93" i="1" s="1"/>
  <c r="U94" i="1" a="1"/>
  <c r="U94" i="1" s="1"/>
  <c r="V94" i="1" a="1"/>
  <c r="V94" i="1" s="1"/>
  <c r="W94" i="1" a="1"/>
  <c r="W94" i="1"/>
  <c r="U95" i="1" a="1"/>
  <c r="U95" i="1" s="1"/>
  <c r="V95" i="1" a="1"/>
  <c r="V95" i="1" s="1"/>
  <c r="W95" i="1" a="1"/>
  <c r="W95" i="1" s="1"/>
  <c r="U96" i="1" a="1"/>
  <c r="U96" i="1"/>
  <c r="V96" i="1" a="1"/>
  <c r="V96" i="1" s="1"/>
  <c r="W96" i="1" a="1"/>
  <c r="W96" i="1" s="1"/>
  <c r="U97" i="1" a="1"/>
  <c r="U97" i="1" s="1"/>
  <c r="V97" i="1" a="1"/>
  <c r="V97" i="1"/>
  <c r="W97" i="1" a="1"/>
  <c r="W97" i="1" s="1"/>
  <c r="U98" i="1" a="1"/>
  <c r="U98" i="1" s="1"/>
  <c r="V98" i="1" a="1"/>
  <c r="V98" i="1" s="1"/>
  <c r="W98" i="1" a="1"/>
  <c r="W98" i="1"/>
  <c r="U99" i="1" a="1"/>
  <c r="U99" i="1" s="1"/>
  <c r="V99" i="1" a="1"/>
  <c r="V99" i="1" s="1"/>
  <c r="W99" i="1" a="1"/>
  <c r="W99" i="1" s="1"/>
  <c r="U100" i="1" a="1"/>
  <c r="U100" i="1"/>
  <c r="V100" i="1" a="1"/>
  <c r="V100" i="1" s="1"/>
  <c r="W100" i="1" a="1"/>
  <c r="W100" i="1" s="1"/>
  <c r="U101" i="1" a="1"/>
  <c r="U101" i="1" s="1"/>
  <c r="V101" i="1" a="1"/>
  <c r="V101" i="1" s="1"/>
  <c r="W101" i="1" a="1"/>
  <c r="W101" i="1" s="1"/>
  <c r="U102" i="1" a="1"/>
  <c r="U102" i="1"/>
  <c r="V102" i="1" a="1"/>
  <c r="V102" i="1" s="1"/>
  <c r="W102" i="1" a="1"/>
  <c r="W102" i="1" s="1"/>
  <c r="U103" i="1" a="1"/>
  <c r="U103" i="1" s="1"/>
  <c r="V103" i="1" a="1"/>
  <c r="V103" i="1"/>
  <c r="W103" i="1" a="1"/>
  <c r="W103" i="1" s="1"/>
  <c r="U104" i="1" a="1"/>
  <c r="U104" i="1" s="1"/>
  <c r="V104" i="1" a="1"/>
  <c r="V104" i="1" s="1"/>
  <c r="W104" i="1" a="1"/>
  <c r="W104" i="1"/>
  <c r="U105" i="1" a="1"/>
  <c r="U105" i="1" s="1"/>
  <c r="V105" i="1" a="1"/>
  <c r="V105" i="1" s="1"/>
  <c r="W105" i="1" a="1"/>
  <c r="W105" i="1" s="1"/>
  <c r="U106" i="1" a="1"/>
  <c r="U106" i="1"/>
  <c r="V106" i="1" a="1"/>
  <c r="V106" i="1" s="1"/>
  <c r="W106" i="1" a="1"/>
  <c r="W106" i="1" s="1"/>
  <c r="U107" i="1" a="1"/>
  <c r="U107" i="1" s="1"/>
  <c r="V107" i="1" a="1"/>
  <c r="V107" i="1"/>
  <c r="W107" i="1" a="1"/>
  <c r="W107" i="1" s="1"/>
  <c r="U108" i="1" a="1"/>
  <c r="U108" i="1" s="1"/>
  <c r="V108" i="1" a="1"/>
  <c r="V108" i="1" s="1"/>
  <c r="W108" i="1" a="1"/>
  <c r="W108" i="1"/>
  <c r="U109" i="1" a="1"/>
  <c r="U109" i="1" s="1"/>
  <c r="V109" i="1" a="1"/>
  <c r="V109" i="1" s="1"/>
  <c r="W109" i="1" a="1"/>
  <c r="W109" i="1" s="1"/>
  <c r="U110" i="1" a="1"/>
  <c r="U110" i="1"/>
  <c r="V110" i="1" a="1"/>
  <c r="V110" i="1" s="1"/>
  <c r="W110" i="1" a="1"/>
  <c r="W110" i="1" s="1"/>
  <c r="U111" i="1" a="1"/>
  <c r="U111" i="1" s="1"/>
  <c r="V111" i="1" a="1"/>
  <c r="V111" i="1"/>
  <c r="W111" i="1" a="1"/>
  <c r="W111" i="1" s="1"/>
  <c r="U112" i="1" a="1"/>
  <c r="U112" i="1" s="1"/>
  <c r="V112" i="1" a="1"/>
  <c r="V112" i="1" s="1"/>
  <c r="W112" i="1" a="1"/>
  <c r="W112" i="1"/>
  <c r="U113" i="1" a="1"/>
  <c r="U113" i="1" s="1"/>
  <c r="V113" i="1" a="1"/>
  <c r="V113" i="1" s="1"/>
  <c r="W113" i="1" a="1"/>
  <c r="W113" i="1" s="1"/>
  <c r="U114" i="1" a="1"/>
  <c r="U114" i="1"/>
  <c r="V114" i="1" a="1"/>
  <c r="V114" i="1" s="1"/>
  <c r="W114" i="1" a="1"/>
  <c r="W114" i="1" s="1"/>
  <c r="U115" i="1" a="1"/>
  <c r="U115" i="1" s="1"/>
  <c r="V115" i="1" a="1"/>
  <c r="V115" i="1"/>
  <c r="W115" i="1" a="1"/>
  <c r="W115" i="1" s="1"/>
  <c r="U116" i="1" a="1"/>
  <c r="U116" i="1" s="1"/>
  <c r="V116" i="1" a="1"/>
  <c r="V116" i="1" s="1"/>
  <c r="W116" i="1" a="1"/>
  <c r="W116" i="1"/>
  <c r="U117" i="1" a="1"/>
  <c r="U117" i="1" s="1"/>
  <c r="V117" i="1" a="1"/>
  <c r="V117" i="1" s="1"/>
  <c r="W117" i="1" a="1"/>
  <c r="W117" i="1" s="1"/>
  <c r="U118" i="1" a="1"/>
  <c r="U118" i="1"/>
  <c r="V118" i="1" a="1"/>
  <c r="V118" i="1" s="1"/>
  <c r="W118" i="1" a="1"/>
  <c r="W118" i="1" s="1"/>
  <c r="U119" i="1" a="1"/>
  <c r="U119" i="1" s="1"/>
  <c r="V119" i="1" a="1"/>
  <c r="V119" i="1"/>
  <c r="W119" i="1" a="1"/>
  <c r="W119" i="1" s="1"/>
  <c r="U120" i="1" a="1"/>
  <c r="U120" i="1" s="1"/>
  <c r="V120" i="1" a="1"/>
  <c r="V120" i="1" s="1"/>
  <c r="W120" i="1" a="1"/>
  <c r="W120" i="1"/>
  <c r="U121" i="1" a="1"/>
  <c r="U121" i="1" s="1"/>
  <c r="V121" i="1" a="1"/>
  <c r="V121" i="1" s="1"/>
  <c r="W121" i="1" a="1"/>
  <c r="W121" i="1" s="1"/>
  <c r="U122" i="1" a="1"/>
  <c r="U122" i="1"/>
  <c r="V122" i="1" a="1"/>
  <c r="V122" i="1" s="1"/>
  <c r="W122" i="1" a="1"/>
  <c r="W122" i="1" s="1"/>
  <c r="U123" i="1" a="1"/>
  <c r="U123" i="1" s="1"/>
  <c r="V123" i="1" a="1"/>
  <c r="V123" i="1"/>
  <c r="W123" i="1" a="1"/>
  <c r="W123" i="1" s="1"/>
  <c r="U124" i="1" a="1"/>
  <c r="U124" i="1" s="1"/>
  <c r="V124" i="1" a="1"/>
  <c r="V124" i="1" s="1"/>
  <c r="W124" i="1" a="1"/>
  <c r="W124" i="1" s="1"/>
  <c r="U125" i="1" a="1"/>
  <c r="U125" i="1" s="1"/>
  <c r="V125" i="1" a="1"/>
  <c r="V125" i="1" s="1"/>
  <c r="W125" i="1" a="1"/>
  <c r="W125" i="1" s="1"/>
  <c r="U126" i="1" a="1"/>
  <c r="U126" i="1"/>
  <c r="V126" i="1" a="1"/>
  <c r="V126" i="1" s="1"/>
  <c r="W126" i="1" a="1"/>
  <c r="W126" i="1" s="1"/>
  <c r="U127" i="1" a="1"/>
  <c r="U127" i="1" s="1"/>
  <c r="V127" i="1" a="1"/>
  <c r="V127" i="1" s="1"/>
  <c r="W127" i="1" a="1"/>
  <c r="W127" i="1" s="1"/>
  <c r="U128" i="1" a="1"/>
  <c r="U128" i="1" s="1"/>
  <c r="V128" i="1" a="1"/>
  <c r="V128" i="1" s="1"/>
  <c r="W128" i="1" a="1"/>
  <c r="W128" i="1"/>
  <c r="U129" i="1" a="1"/>
  <c r="U129" i="1" s="1"/>
  <c r="V129" i="1" a="1"/>
  <c r="V129" i="1" s="1"/>
  <c r="W129" i="1" a="1"/>
  <c r="W129" i="1" s="1"/>
  <c r="U130" i="1" a="1"/>
  <c r="U130" i="1" s="1"/>
  <c r="V130" i="1" a="1"/>
  <c r="V130" i="1" s="1"/>
  <c r="W130" i="1" a="1"/>
  <c r="W130" i="1" s="1"/>
  <c r="U131" i="1" a="1"/>
  <c r="U131" i="1" s="1"/>
  <c r="V131" i="1" a="1"/>
  <c r="V131" i="1"/>
  <c r="W131" i="1" a="1"/>
  <c r="W131" i="1" s="1"/>
  <c r="U132" i="1" a="1"/>
  <c r="U132" i="1" s="1"/>
  <c r="V132" i="1" a="1"/>
  <c r="V132" i="1" s="1"/>
  <c r="W132" i="1" a="1"/>
  <c r="W132" i="1" s="1"/>
  <c r="U133" i="1" a="1"/>
  <c r="U133" i="1" s="1"/>
  <c r="V133" i="1" a="1"/>
  <c r="V133" i="1" s="1"/>
  <c r="W133" i="1" a="1"/>
  <c r="W133" i="1" s="1"/>
  <c r="U134" i="1" a="1"/>
  <c r="U134" i="1"/>
  <c r="V134" i="1" a="1"/>
  <c r="V134" i="1" s="1"/>
  <c r="W134" i="1" a="1"/>
  <c r="W134" i="1" s="1"/>
  <c r="U135" i="1" a="1"/>
  <c r="U135" i="1" s="1"/>
  <c r="V135" i="1" a="1"/>
  <c r="V135" i="1" s="1"/>
  <c r="W135" i="1" a="1"/>
  <c r="W135" i="1" s="1"/>
  <c r="U136" i="1" a="1"/>
  <c r="U136" i="1" s="1"/>
  <c r="V136" i="1" a="1"/>
  <c r="V136" i="1" s="1"/>
  <c r="W136" i="1" a="1"/>
  <c r="W136" i="1"/>
  <c r="U137" i="1" a="1"/>
  <c r="U137" i="1" s="1"/>
  <c r="V137" i="1" a="1"/>
  <c r="V137" i="1" s="1"/>
  <c r="W137" i="1" a="1"/>
  <c r="W137" i="1" s="1"/>
  <c r="U138" i="1" a="1"/>
  <c r="U138" i="1" s="1"/>
  <c r="V138" i="1" a="1"/>
  <c r="V138" i="1" s="1"/>
  <c r="W138" i="1" a="1"/>
  <c r="W138" i="1" s="1"/>
  <c r="U139" i="1" a="1"/>
  <c r="U139" i="1" s="1"/>
  <c r="V139" i="1" a="1"/>
  <c r="V139" i="1"/>
  <c r="W139" i="1" a="1"/>
  <c r="W139" i="1" s="1"/>
  <c r="U140" i="1" a="1"/>
  <c r="U140" i="1" s="1"/>
  <c r="V140" i="1" a="1"/>
  <c r="V140" i="1" s="1"/>
  <c r="W140" i="1" a="1"/>
  <c r="W140" i="1" s="1"/>
  <c r="U141" i="1" a="1"/>
  <c r="U141" i="1" s="1"/>
  <c r="V141" i="1" a="1"/>
  <c r="V141" i="1" s="1"/>
  <c r="W141" i="1" a="1"/>
  <c r="W141" i="1" s="1"/>
  <c r="U142" i="1" a="1"/>
  <c r="U142" i="1"/>
  <c r="V142" i="1" a="1"/>
  <c r="V142" i="1" s="1"/>
  <c r="W142" i="1" a="1"/>
  <c r="W142" i="1" s="1"/>
  <c r="U143" i="1" a="1"/>
  <c r="U143" i="1" s="1"/>
  <c r="V143" i="1" a="1"/>
  <c r="V143" i="1" s="1"/>
  <c r="W143" i="1" a="1"/>
  <c r="W143" i="1" s="1"/>
  <c r="U144" i="1" a="1"/>
  <c r="U144" i="1" s="1"/>
  <c r="V144" i="1" a="1"/>
  <c r="V144" i="1" s="1"/>
  <c r="W144" i="1" a="1"/>
  <c r="W144" i="1"/>
  <c r="U145" i="1" a="1"/>
  <c r="U145" i="1" s="1"/>
  <c r="V145" i="1" a="1"/>
  <c r="V145" i="1" s="1"/>
  <c r="W145" i="1" a="1"/>
  <c r="W145" i="1" s="1"/>
  <c r="U146" i="1" a="1"/>
  <c r="U146" i="1" s="1"/>
  <c r="V146" i="1" a="1"/>
  <c r="V146" i="1" s="1"/>
  <c r="W146" i="1" a="1"/>
  <c r="W146" i="1" s="1"/>
  <c r="U147" i="1" a="1"/>
  <c r="U147" i="1" s="1"/>
  <c r="V147" i="1" a="1"/>
  <c r="V147" i="1"/>
  <c r="W147" i="1" a="1"/>
  <c r="W147" i="1" s="1"/>
  <c r="U148" i="1" a="1"/>
  <c r="U148" i="1" s="1"/>
  <c r="V148" i="1" a="1"/>
  <c r="V148" i="1" s="1"/>
  <c r="W148" i="1" a="1"/>
  <c r="W148" i="1" s="1"/>
  <c r="U149" i="1" a="1"/>
  <c r="U149" i="1" s="1"/>
  <c r="V149" i="1" a="1"/>
  <c r="V149" i="1" s="1"/>
  <c r="W149" i="1" a="1"/>
  <c r="W149" i="1" s="1"/>
  <c r="U150" i="1" a="1"/>
  <c r="U150" i="1"/>
  <c r="V150" i="1" a="1"/>
  <c r="V150" i="1" s="1"/>
  <c r="W150" i="1" a="1"/>
  <c r="W150" i="1" s="1"/>
  <c r="U151" i="1" a="1"/>
  <c r="U151" i="1" s="1"/>
  <c r="V151" i="1" a="1"/>
  <c r="V151" i="1" s="1"/>
  <c r="W151" i="1" a="1"/>
  <c r="W151" i="1" s="1"/>
  <c r="U152" i="1" a="1"/>
  <c r="U152" i="1" s="1"/>
  <c r="V152" i="1" a="1"/>
  <c r="V152" i="1" s="1"/>
  <c r="W152" i="1" a="1"/>
  <c r="W152" i="1"/>
  <c r="U153" i="1" a="1"/>
  <c r="U153" i="1" s="1"/>
  <c r="V153" i="1" a="1"/>
  <c r="V153" i="1" s="1"/>
  <c r="W153" i="1" a="1"/>
  <c r="W153" i="1" s="1"/>
  <c r="U154" i="1" a="1"/>
  <c r="U154" i="1" s="1"/>
  <c r="V154" i="1" a="1"/>
  <c r="V154" i="1" s="1"/>
  <c r="W154" i="1" a="1"/>
  <c r="W154" i="1" s="1"/>
  <c r="U155" i="1" a="1"/>
  <c r="U155" i="1" s="1"/>
  <c r="V155" i="1" a="1"/>
  <c r="V155" i="1"/>
  <c r="W155" i="1" a="1"/>
  <c r="W155" i="1" s="1"/>
  <c r="U156" i="1" a="1"/>
  <c r="U156" i="1" s="1"/>
  <c r="V156" i="1" a="1"/>
  <c r="V156" i="1" s="1"/>
  <c r="W156" i="1" a="1"/>
  <c r="W156" i="1" s="1"/>
  <c r="U157" i="1" a="1"/>
  <c r="U157" i="1" s="1"/>
  <c r="V157" i="1" a="1"/>
  <c r="V157" i="1" s="1"/>
  <c r="W157" i="1" a="1"/>
  <c r="W157" i="1" s="1"/>
  <c r="U158" i="1" a="1"/>
  <c r="U158" i="1"/>
  <c r="V158" i="1" a="1"/>
  <c r="V158" i="1" s="1"/>
  <c r="W158" i="1" a="1"/>
  <c r="W158" i="1" s="1"/>
  <c r="U159" i="1" a="1"/>
  <c r="U159" i="1" s="1"/>
  <c r="V159" i="1" a="1"/>
  <c r="V159" i="1" s="1"/>
  <c r="W159" i="1" a="1"/>
  <c r="W159" i="1" s="1"/>
  <c r="U160" i="1" a="1"/>
  <c r="U160" i="1" s="1"/>
  <c r="V160" i="1" a="1"/>
  <c r="V160" i="1" s="1"/>
  <c r="W160" i="1" a="1"/>
  <c r="W160" i="1"/>
  <c r="U161" i="1" a="1"/>
  <c r="U161" i="1" s="1"/>
  <c r="V161" i="1" a="1"/>
  <c r="V161" i="1" s="1"/>
  <c r="W161" i="1" a="1"/>
  <c r="W161" i="1" s="1"/>
  <c r="U162" i="1" a="1"/>
  <c r="U162" i="1" s="1"/>
  <c r="V162" i="1" a="1"/>
  <c r="V162" i="1" s="1"/>
  <c r="W162" i="1" a="1"/>
  <c r="W162" i="1" s="1"/>
  <c r="U163" i="1" a="1"/>
  <c r="U163" i="1" s="1"/>
  <c r="V163" i="1" a="1"/>
  <c r="V163" i="1"/>
  <c r="W163" i="1" a="1"/>
  <c r="W163" i="1" s="1"/>
  <c r="U164" i="1" a="1"/>
  <c r="U164" i="1" s="1"/>
  <c r="V164" i="1" a="1"/>
  <c r="V164" i="1" s="1"/>
  <c r="W164" i="1" a="1"/>
  <c r="W164" i="1" s="1"/>
  <c r="U165" i="1" a="1"/>
  <c r="U165" i="1" s="1"/>
  <c r="V165" i="1" a="1"/>
  <c r="V165" i="1" s="1"/>
  <c r="W165" i="1" a="1"/>
  <c r="W165" i="1" s="1"/>
  <c r="U166" i="1" a="1"/>
  <c r="U166" i="1"/>
  <c r="V166" i="1" a="1"/>
  <c r="V166" i="1" s="1"/>
  <c r="W166" i="1" a="1"/>
  <c r="W166" i="1" s="1"/>
  <c r="U167" i="1" a="1"/>
  <c r="U167" i="1" s="1"/>
  <c r="V167" i="1" a="1"/>
  <c r="V167" i="1" s="1"/>
  <c r="W167" i="1" a="1"/>
  <c r="W167" i="1" s="1"/>
  <c r="U168" i="1" a="1"/>
  <c r="U168" i="1" s="1"/>
  <c r="V168" i="1" a="1"/>
  <c r="V168" i="1" s="1"/>
  <c r="W168" i="1" a="1"/>
  <c r="W168" i="1"/>
  <c r="U169" i="1" a="1"/>
  <c r="U169" i="1" s="1"/>
  <c r="V169" i="1" a="1"/>
  <c r="V169" i="1" s="1"/>
  <c r="W169" i="1" a="1"/>
  <c r="W169" i="1" s="1"/>
  <c r="U170" i="1" a="1"/>
  <c r="U170" i="1" s="1"/>
  <c r="V170" i="1" a="1"/>
  <c r="V170" i="1" s="1"/>
  <c r="W170" i="1" a="1"/>
  <c r="W170" i="1" s="1"/>
  <c r="U171" i="1" a="1"/>
  <c r="U171" i="1" s="1"/>
  <c r="V171" i="1" a="1"/>
  <c r="V171" i="1"/>
  <c r="W171" i="1" a="1"/>
  <c r="W171" i="1" s="1"/>
  <c r="U172" i="1" a="1"/>
  <c r="U172" i="1" s="1"/>
  <c r="V172" i="1" a="1"/>
  <c r="V172" i="1" s="1"/>
  <c r="W172" i="1" a="1"/>
  <c r="W172" i="1" s="1"/>
  <c r="U173" i="1" a="1"/>
  <c r="U173" i="1" s="1"/>
  <c r="V173" i="1" a="1"/>
  <c r="V173" i="1" s="1"/>
  <c r="W173" i="1" a="1"/>
  <c r="W173" i="1" s="1"/>
  <c r="U174" i="1" a="1"/>
  <c r="U174" i="1"/>
  <c r="V174" i="1" a="1"/>
  <c r="V174" i="1" s="1"/>
  <c r="W174" i="1" a="1"/>
  <c r="W174" i="1" s="1"/>
  <c r="U175" i="1" a="1"/>
  <c r="U175" i="1" s="1"/>
  <c r="V175" i="1" a="1"/>
  <c r="V175" i="1" s="1"/>
  <c r="W175" i="1" a="1"/>
  <c r="W175" i="1" s="1"/>
  <c r="U176" i="1" a="1"/>
  <c r="U176" i="1" s="1"/>
  <c r="V176" i="1" a="1"/>
  <c r="V176" i="1" s="1"/>
  <c r="W176" i="1" a="1"/>
  <c r="W176" i="1"/>
  <c r="U177" i="1" a="1"/>
  <c r="U177" i="1" s="1"/>
  <c r="V177" i="1" a="1"/>
  <c r="V177" i="1" s="1"/>
  <c r="W177" i="1" a="1"/>
  <c r="W177" i="1" s="1"/>
  <c r="U178" i="1" a="1"/>
  <c r="U178" i="1" s="1"/>
  <c r="V178" i="1" a="1"/>
  <c r="V178" i="1" s="1"/>
  <c r="W178" i="1" a="1"/>
  <c r="W178" i="1" s="1"/>
  <c r="U179" i="1" a="1"/>
  <c r="U179" i="1" s="1"/>
  <c r="V179" i="1" a="1"/>
  <c r="V179" i="1"/>
  <c r="W179" i="1" a="1"/>
  <c r="W179" i="1" s="1"/>
  <c r="U180" i="1" a="1"/>
  <c r="U180" i="1" s="1"/>
  <c r="V180" i="1" a="1"/>
  <c r="V180" i="1" s="1"/>
  <c r="W180" i="1" a="1"/>
  <c r="W180" i="1" s="1"/>
  <c r="U181" i="1" a="1"/>
  <c r="U181" i="1" s="1"/>
  <c r="V181" i="1" a="1"/>
  <c r="V181" i="1" s="1"/>
  <c r="W181" i="1" a="1"/>
  <c r="W181" i="1" s="1"/>
  <c r="U182" i="1" a="1"/>
  <c r="U182" i="1"/>
  <c r="V182" i="1" a="1"/>
  <c r="V182" i="1" s="1"/>
  <c r="W182" i="1" a="1"/>
  <c r="W182" i="1" s="1"/>
  <c r="U183" i="1" a="1"/>
  <c r="U183" i="1" s="1"/>
  <c r="V183" i="1" a="1"/>
  <c r="V183" i="1" s="1"/>
  <c r="W183" i="1" a="1"/>
  <c r="W183" i="1" s="1"/>
  <c r="U184" i="1" a="1"/>
  <c r="U184" i="1" s="1"/>
  <c r="V184" i="1" a="1"/>
  <c r="V184" i="1" s="1"/>
  <c r="W184" i="1" a="1"/>
  <c r="W184" i="1"/>
  <c r="U185" i="1" a="1"/>
  <c r="U185" i="1" s="1"/>
  <c r="V185" i="1" a="1"/>
  <c r="V185" i="1" s="1"/>
  <c r="W185" i="1" a="1"/>
  <c r="W185" i="1" s="1"/>
  <c r="U186" i="1" a="1"/>
  <c r="U186" i="1" s="1"/>
  <c r="V186" i="1" a="1"/>
  <c r="V186" i="1" s="1"/>
  <c r="W186" i="1" a="1"/>
  <c r="W186" i="1" s="1"/>
  <c r="U187" i="1" a="1"/>
  <c r="U187" i="1" s="1"/>
  <c r="V187" i="1" a="1"/>
  <c r="V187" i="1"/>
  <c r="W187" i="1" a="1"/>
  <c r="W187" i="1" s="1"/>
  <c r="U188" i="1" a="1"/>
  <c r="U188" i="1" s="1"/>
  <c r="V188" i="1" a="1"/>
  <c r="V188" i="1" s="1"/>
  <c r="W188" i="1" a="1"/>
  <c r="W188" i="1" s="1"/>
  <c r="U189" i="1" a="1"/>
  <c r="U189" i="1" s="1"/>
  <c r="V189" i="1" a="1"/>
  <c r="V189" i="1" s="1"/>
  <c r="W189" i="1" a="1"/>
  <c r="W189" i="1" s="1"/>
  <c r="U190" i="1" a="1"/>
  <c r="U190" i="1"/>
  <c r="V190" i="1" a="1"/>
  <c r="V190" i="1" s="1"/>
  <c r="W190" i="1" a="1"/>
  <c r="W190" i="1" s="1"/>
  <c r="U191" i="1" a="1"/>
  <c r="U191" i="1" s="1"/>
  <c r="V191" i="1" a="1"/>
  <c r="V191" i="1" s="1"/>
  <c r="W191" i="1" a="1"/>
  <c r="W191" i="1" s="1"/>
  <c r="U192" i="1" a="1"/>
  <c r="U192" i="1" s="1"/>
  <c r="V192" i="1" a="1"/>
  <c r="V192" i="1" s="1"/>
  <c r="W192" i="1" a="1"/>
  <c r="W192" i="1"/>
  <c r="U193" i="1" a="1"/>
  <c r="U193" i="1" s="1"/>
  <c r="V193" i="1" a="1"/>
  <c r="V193" i="1" s="1"/>
  <c r="W193" i="1" a="1"/>
  <c r="W193" i="1" s="1"/>
  <c r="U194" i="1" a="1"/>
  <c r="U194" i="1" s="1"/>
  <c r="V194" i="1" a="1"/>
  <c r="V194" i="1" s="1"/>
  <c r="W194" i="1" a="1"/>
  <c r="W194" i="1" s="1"/>
  <c r="U195" i="1" a="1"/>
  <c r="U195" i="1" s="1"/>
  <c r="V195" i="1" a="1"/>
  <c r="V195" i="1"/>
  <c r="W195" i="1" a="1"/>
  <c r="W195" i="1" s="1"/>
  <c r="U196" i="1" a="1"/>
  <c r="U196" i="1" s="1"/>
  <c r="V196" i="1" a="1"/>
  <c r="V196" i="1" s="1"/>
  <c r="W196" i="1" a="1"/>
  <c r="W196" i="1" s="1"/>
  <c r="U197" i="1" a="1"/>
  <c r="U197" i="1" s="1"/>
  <c r="V197" i="1" a="1"/>
  <c r="V197" i="1" s="1"/>
  <c r="W197" i="1" a="1"/>
  <c r="W197" i="1" s="1"/>
  <c r="U198" i="1" a="1"/>
  <c r="U198" i="1"/>
  <c r="V198" i="1" a="1"/>
  <c r="V198" i="1" s="1"/>
  <c r="W198" i="1" a="1"/>
  <c r="W198" i="1" s="1"/>
  <c r="U199" i="1" a="1"/>
  <c r="U199" i="1" s="1"/>
  <c r="V199" i="1" a="1"/>
  <c r="V199" i="1" s="1"/>
  <c r="W199" i="1" a="1"/>
  <c r="W199" i="1" s="1"/>
  <c r="U200" i="1" a="1"/>
  <c r="U200" i="1"/>
  <c r="V200" i="1" a="1"/>
  <c r="V200" i="1" s="1"/>
  <c r="W200" i="1" a="1"/>
  <c r="W200" i="1"/>
  <c r="U201" i="1" a="1"/>
  <c r="U201" i="1" s="1"/>
  <c r="V201" i="1" a="1"/>
  <c r="V201" i="1" s="1"/>
  <c r="W201" i="1" a="1"/>
  <c r="W201" i="1" s="1"/>
  <c r="U202" i="1" a="1"/>
  <c r="U202" i="1" s="1"/>
  <c r="V202" i="1" a="1"/>
  <c r="V202" i="1" s="1"/>
  <c r="W202" i="1" a="1"/>
  <c r="W202" i="1" s="1"/>
  <c r="U203" i="1" a="1"/>
  <c r="U203" i="1" s="1"/>
  <c r="V203" i="1" a="1"/>
  <c r="V203" i="1"/>
  <c r="W203" i="1" a="1"/>
  <c r="W203" i="1" s="1"/>
  <c r="U204" i="1" a="1"/>
  <c r="U204" i="1" s="1"/>
  <c r="V204" i="1" a="1"/>
  <c r="V204" i="1" s="1"/>
  <c r="W204" i="1" a="1"/>
  <c r="W204" i="1" s="1"/>
  <c r="U205" i="1" a="1"/>
  <c r="U205" i="1"/>
  <c r="V205" i="1" a="1"/>
  <c r="V205" i="1" s="1"/>
  <c r="W205" i="1" a="1"/>
  <c r="W205" i="1"/>
  <c r="U206" i="1" a="1"/>
  <c r="U206" i="1" s="1"/>
  <c r="V206" i="1" a="1"/>
  <c r="V206" i="1"/>
  <c r="W206" i="1" a="1"/>
  <c r="W206" i="1" s="1"/>
  <c r="U207" i="1" a="1"/>
  <c r="U207" i="1"/>
  <c r="V207" i="1" a="1"/>
  <c r="V207" i="1" s="1"/>
  <c r="W207" i="1" a="1"/>
  <c r="W207" i="1" s="1"/>
  <c r="U208" i="1" a="1"/>
  <c r="U208" i="1" s="1"/>
  <c r="V208" i="1" a="1"/>
  <c r="V208" i="1" s="1"/>
  <c r="W208" i="1" a="1"/>
  <c r="W208" i="1" s="1"/>
  <c r="U209" i="1" a="1"/>
  <c r="U209" i="1" s="1"/>
  <c r="V209" i="1" a="1"/>
  <c r="V209" i="1" s="1"/>
  <c r="W209" i="1" a="1"/>
  <c r="W209" i="1"/>
  <c r="U210" i="1" a="1"/>
  <c r="U210" i="1" s="1"/>
  <c r="V210" i="1" a="1"/>
  <c r="V210" i="1" s="1"/>
  <c r="W210" i="1" a="1"/>
  <c r="W210" i="1" s="1"/>
  <c r="U211" i="1" a="1"/>
  <c r="U211" i="1" s="1"/>
  <c r="V211" i="1" a="1"/>
  <c r="V211" i="1" s="1"/>
  <c r="W211" i="1" a="1"/>
  <c r="W211" i="1" s="1"/>
  <c r="U212" i="1" a="1"/>
  <c r="U212" i="1" s="1"/>
  <c r="V212" i="1" a="1"/>
  <c r="V212" i="1"/>
  <c r="W212" i="1" a="1"/>
  <c r="W212" i="1" s="1"/>
  <c r="U213" i="1" a="1"/>
  <c r="U213" i="1" s="1"/>
  <c r="V213" i="1" a="1"/>
  <c r="V213" i="1" s="1"/>
  <c r="W213" i="1" a="1"/>
  <c r="W213" i="1" s="1"/>
  <c r="U214" i="1" a="1"/>
  <c r="U214" i="1" s="1"/>
  <c r="V214" i="1" a="1"/>
  <c r="V214" i="1" s="1"/>
  <c r="W214" i="1" a="1"/>
  <c r="W214" i="1" s="1"/>
  <c r="U215" i="1" a="1"/>
  <c r="U215" i="1"/>
  <c r="V215" i="1" a="1"/>
  <c r="V215" i="1" s="1"/>
  <c r="W215" i="1" a="1"/>
  <c r="W215" i="1" s="1"/>
  <c r="U216" i="1" a="1"/>
  <c r="U216" i="1" s="1"/>
  <c r="V216" i="1" a="1"/>
  <c r="V216" i="1" s="1"/>
  <c r="W216" i="1" a="1"/>
  <c r="W216" i="1" s="1"/>
  <c r="U217" i="1" a="1"/>
  <c r="U217" i="1" s="1"/>
  <c r="V217" i="1" a="1"/>
  <c r="V217" i="1" s="1"/>
  <c r="W217" i="1" a="1"/>
  <c r="W217" i="1"/>
  <c r="U218" i="1" a="1"/>
  <c r="U218" i="1" s="1"/>
  <c r="V218" i="1" a="1"/>
  <c r="V218" i="1" s="1"/>
  <c r="W218" i="1" a="1"/>
  <c r="W218" i="1" s="1"/>
  <c r="U219" i="1" a="1"/>
  <c r="U219" i="1" s="1"/>
  <c r="V219" i="1" a="1"/>
  <c r="V219" i="1" s="1"/>
  <c r="W219" i="1" a="1"/>
  <c r="W219" i="1" s="1"/>
  <c r="U220" i="1" a="1"/>
  <c r="U220" i="1" s="1"/>
  <c r="V220" i="1" a="1"/>
  <c r="V220" i="1"/>
  <c r="W220" i="1" a="1"/>
  <c r="W220" i="1" s="1"/>
  <c r="U221" i="1" a="1"/>
  <c r="U221" i="1" s="1"/>
  <c r="V221" i="1" a="1"/>
  <c r="V221" i="1" s="1"/>
  <c r="W221" i="1" a="1"/>
  <c r="W221" i="1" s="1"/>
  <c r="U222" i="1" a="1"/>
  <c r="U222" i="1" s="1"/>
  <c r="V222" i="1" a="1"/>
  <c r="V222" i="1" s="1"/>
  <c r="W222" i="1" a="1"/>
  <c r="W222" i="1" s="1"/>
  <c r="U223" i="1" a="1"/>
  <c r="U223" i="1"/>
  <c r="V223" i="1" a="1"/>
  <c r="V223" i="1" s="1"/>
  <c r="W223" i="1" a="1"/>
  <c r="W223" i="1" s="1"/>
  <c r="U224" i="1" a="1"/>
  <c r="U224" i="1" s="1"/>
  <c r="V224" i="1" a="1"/>
  <c r="V224" i="1" s="1"/>
  <c r="W224" i="1" a="1"/>
  <c r="W224" i="1" s="1"/>
  <c r="U225" i="1" a="1"/>
  <c r="U225" i="1" s="1"/>
  <c r="V225" i="1" a="1"/>
  <c r="V225" i="1" s="1"/>
  <c r="W225" i="1" a="1"/>
  <c r="W225" i="1"/>
  <c r="U226" i="1" a="1"/>
  <c r="U226" i="1" s="1"/>
  <c r="V226" i="1" a="1"/>
  <c r="V226" i="1" s="1"/>
  <c r="W226" i="1" a="1"/>
  <c r="W226" i="1" s="1"/>
  <c r="U227" i="1" a="1"/>
  <c r="U227" i="1" s="1"/>
  <c r="V227" i="1" a="1"/>
  <c r="V227" i="1" s="1"/>
  <c r="W227" i="1" a="1"/>
  <c r="W227" i="1" s="1"/>
  <c r="U228" i="1" a="1"/>
  <c r="U228" i="1" s="1"/>
  <c r="V228" i="1" a="1"/>
  <c r="V228" i="1"/>
  <c r="W228" i="1" a="1"/>
  <c r="W228" i="1" s="1"/>
  <c r="U229" i="1" a="1"/>
  <c r="U229" i="1" s="1"/>
  <c r="V229" i="1" a="1"/>
  <c r="V229" i="1" s="1"/>
  <c r="W229" i="1" a="1"/>
  <c r="W229" i="1" s="1"/>
  <c r="U230" i="1" a="1"/>
  <c r="U230" i="1" s="1"/>
  <c r="V230" i="1" a="1"/>
  <c r="V230" i="1" s="1"/>
  <c r="W230" i="1" a="1"/>
  <c r="W230" i="1" s="1"/>
  <c r="U231" i="1" a="1"/>
  <c r="U231" i="1"/>
  <c r="V231" i="1" a="1"/>
  <c r="V231" i="1" s="1"/>
  <c r="W231" i="1" a="1"/>
  <c r="W231" i="1" s="1"/>
  <c r="U232" i="1" a="1"/>
  <c r="U232" i="1" s="1"/>
  <c r="V232" i="1" a="1"/>
  <c r="V232" i="1" s="1"/>
  <c r="W232" i="1" a="1"/>
  <c r="W232" i="1" s="1"/>
  <c r="U233" i="1" a="1"/>
  <c r="U233" i="1" s="1"/>
  <c r="V233" i="1" a="1"/>
  <c r="V233" i="1" s="1"/>
  <c r="W233" i="1" a="1"/>
  <c r="W233" i="1"/>
  <c r="U234" i="1" a="1"/>
  <c r="U234" i="1" s="1"/>
  <c r="V234" i="1" a="1"/>
  <c r="V234" i="1"/>
  <c r="W234" i="1" a="1"/>
  <c r="W234" i="1" s="1"/>
  <c r="U235" i="1" a="1"/>
  <c r="U235" i="1" s="1"/>
  <c r="V235" i="1" a="1"/>
  <c r="V235" i="1" s="1"/>
  <c r="W235" i="1" a="1"/>
  <c r="W235" i="1" s="1"/>
  <c r="U236" i="1" a="1"/>
  <c r="U236" i="1" s="1"/>
  <c r="V236" i="1" a="1"/>
  <c r="V236" i="1"/>
  <c r="W236" i="1" a="1"/>
  <c r="W236" i="1" s="1"/>
  <c r="U237" i="1" a="1"/>
  <c r="U237" i="1"/>
  <c r="V237" i="1" a="1"/>
  <c r="V237" i="1" s="1"/>
  <c r="W237" i="1" a="1"/>
  <c r="W237" i="1"/>
  <c r="U238" i="1" a="1"/>
  <c r="U238" i="1" s="1"/>
  <c r="V238" i="1" a="1"/>
  <c r="V238" i="1" s="1"/>
  <c r="W238" i="1" a="1"/>
  <c r="W238" i="1" s="1"/>
  <c r="U239" i="1" a="1"/>
  <c r="U239" i="1"/>
  <c r="V239" i="1" a="1"/>
  <c r="V239" i="1" s="1"/>
  <c r="W239" i="1" a="1"/>
  <c r="W239" i="1"/>
  <c r="U240" i="1" a="1"/>
  <c r="U240" i="1" s="1"/>
  <c r="V240" i="1" a="1"/>
  <c r="V240" i="1"/>
  <c r="W240" i="1" a="1"/>
  <c r="W240" i="1" s="1"/>
  <c r="U241" i="1" a="1"/>
  <c r="U241" i="1" s="1"/>
  <c r="V241" i="1" a="1"/>
  <c r="V241" i="1" s="1"/>
  <c r="W241" i="1" a="1"/>
  <c r="W241" i="1"/>
  <c r="U242" i="1" a="1"/>
  <c r="U242" i="1" s="1"/>
  <c r="V242" i="1" a="1"/>
  <c r="V242" i="1"/>
  <c r="W242" i="1" a="1"/>
  <c r="W242" i="1" s="1"/>
  <c r="U243" i="1" a="1"/>
  <c r="U243" i="1"/>
  <c r="V243" i="1" a="1"/>
  <c r="V243" i="1" s="1"/>
  <c r="W243" i="1" a="1"/>
  <c r="W243" i="1" s="1"/>
  <c r="U244" i="1" a="1"/>
  <c r="U244" i="1" s="1"/>
  <c r="V244" i="1" a="1"/>
  <c r="V244" i="1"/>
  <c r="W244" i="1" a="1"/>
  <c r="W244" i="1" s="1"/>
  <c r="U245" i="1" a="1"/>
  <c r="U245" i="1"/>
  <c r="V245" i="1" a="1"/>
  <c r="V245" i="1" s="1"/>
  <c r="W245" i="1" a="1"/>
  <c r="W245" i="1"/>
  <c r="U246" i="1" a="1"/>
  <c r="U246" i="1" s="1"/>
  <c r="V246" i="1" a="1"/>
  <c r="V246" i="1" s="1"/>
  <c r="W246" i="1" a="1"/>
  <c r="W246" i="1" s="1"/>
  <c r="U247" i="1" a="1"/>
  <c r="U247" i="1"/>
  <c r="V247" i="1" a="1"/>
  <c r="V247" i="1" s="1"/>
  <c r="W247" i="1" a="1"/>
  <c r="W247" i="1"/>
  <c r="U248" i="1" a="1"/>
  <c r="U248" i="1" s="1"/>
  <c r="V248" i="1" a="1"/>
  <c r="V248" i="1"/>
  <c r="W248" i="1" a="1"/>
  <c r="W248" i="1" s="1"/>
  <c r="U249" i="1" a="1"/>
  <c r="U249" i="1" s="1"/>
  <c r="V249" i="1" a="1"/>
  <c r="V249" i="1" s="1"/>
  <c r="W249" i="1" a="1"/>
  <c r="W249" i="1"/>
  <c r="U250" i="1" a="1"/>
  <c r="U250" i="1" s="1"/>
  <c r="V250" i="1" a="1"/>
  <c r="V250" i="1"/>
  <c r="W250" i="1" a="1"/>
  <c r="W250" i="1" s="1"/>
  <c r="U251" i="1" a="1"/>
  <c r="U251" i="1"/>
  <c r="V251" i="1" a="1"/>
  <c r="V251" i="1" s="1"/>
  <c r="W251" i="1" a="1"/>
  <c r="W251" i="1" s="1"/>
  <c r="U252" i="1" a="1"/>
  <c r="U252" i="1" s="1"/>
  <c r="V252" i="1" a="1"/>
  <c r="V252" i="1"/>
  <c r="W252" i="1" a="1"/>
  <c r="W252" i="1" s="1"/>
  <c r="U253" i="1" a="1"/>
  <c r="U253" i="1"/>
  <c r="V253" i="1" a="1"/>
  <c r="V253" i="1" s="1"/>
  <c r="W253" i="1" a="1"/>
  <c r="W253" i="1"/>
  <c r="U254" i="1" a="1"/>
  <c r="U254" i="1" s="1"/>
  <c r="V254" i="1" a="1"/>
  <c r="V254" i="1" s="1"/>
  <c r="W254" i="1" a="1"/>
  <c r="W254" i="1" s="1"/>
  <c r="U255" i="1" a="1"/>
  <c r="U255" i="1"/>
  <c r="V255" i="1" a="1"/>
  <c r="V255" i="1" s="1"/>
  <c r="W255" i="1" a="1"/>
  <c r="W255" i="1"/>
  <c r="U256" i="1" a="1"/>
  <c r="U256" i="1" s="1"/>
  <c r="V256" i="1" a="1"/>
  <c r="V256" i="1" s="1"/>
  <c r="W256" i="1" a="1"/>
  <c r="W256" i="1" s="1"/>
  <c r="U257" i="1" a="1"/>
  <c r="U257" i="1"/>
  <c r="V257" i="1" a="1"/>
  <c r="V257" i="1" s="1"/>
  <c r="W257" i="1" a="1"/>
  <c r="W257" i="1"/>
  <c r="U258" i="1" a="1"/>
  <c r="U258" i="1" s="1"/>
  <c r="V258" i="1" a="1"/>
  <c r="V258" i="1"/>
  <c r="W258" i="1" a="1"/>
  <c r="W258" i="1" s="1"/>
  <c r="U259" i="1" a="1"/>
  <c r="U259" i="1" s="1"/>
  <c r="V259" i="1" a="1"/>
  <c r="V259" i="1" s="1"/>
  <c r="W259" i="1" a="1"/>
  <c r="W259" i="1"/>
  <c r="U260" i="1" a="1"/>
  <c r="U260" i="1" s="1"/>
  <c r="V260" i="1" a="1"/>
  <c r="V260" i="1"/>
  <c r="W260" i="1" a="1"/>
  <c r="W260" i="1" s="1"/>
  <c r="U261" i="1" a="1"/>
  <c r="U261" i="1"/>
  <c r="V261" i="1" a="1"/>
  <c r="V261" i="1" s="1"/>
  <c r="W261" i="1" a="1"/>
  <c r="W261" i="1" s="1"/>
  <c r="U262" i="1" a="1"/>
  <c r="U262" i="1" s="1"/>
  <c r="V262" i="1" a="1"/>
  <c r="V262" i="1"/>
  <c r="W262" i="1" a="1"/>
  <c r="W262" i="1" s="1"/>
  <c r="U263" i="1" a="1"/>
  <c r="U263" i="1"/>
  <c r="V263" i="1" a="1"/>
  <c r="V263" i="1" s="1"/>
  <c r="W263" i="1" a="1"/>
  <c r="W263" i="1"/>
  <c r="U264" i="1" a="1"/>
  <c r="U264" i="1" s="1"/>
  <c r="V264" i="1" a="1"/>
  <c r="V264" i="1" s="1"/>
  <c r="W264" i="1" a="1"/>
  <c r="W264" i="1" s="1"/>
  <c r="U265" i="1" a="1"/>
  <c r="U265" i="1"/>
  <c r="V265" i="1" a="1"/>
  <c r="V265" i="1" s="1"/>
  <c r="W265" i="1" a="1"/>
  <c r="W265" i="1"/>
  <c r="U266" i="1" a="1"/>
  <c r="U266" i="1" s="1"/>
  <c r="V266" i="1" a="1"/>
  <c r="V266" i="1"/>
  <c r="W266" i="1" a="1"/>
  <c r="W266" i="1" s="1"/>
  <c r="U267" i="1" a="1"/>
  <c r="U267" i="1" s="1"/>
  <c r="V267" i="1" a="1"/>
  <c r="V267" i="1" s="1"/>
  <c r="W267" i="1" a="1"/>
  <c r="W267" i="1"/>
  <c r="U268" i="1" a="1"/>
  <c r="U268" i="1" s="1"/>
  <c r="V268" i="1" a="1"/>
  <c r="V268" i="1"/>
  <c r="W268" i="1" a="1"/>
  <c r="W268" i="1" s="1"/>
  <c r="U269" i="1" a="1"/>
  <c r="U269" i="1"/>
  <c r="V269" i="1" a="1"/>
  <c r="V269" i="1" s="1"/>
  <c r="W269" i="1" a="1"/>
  <c r="W269" i="1" s="1"/>
  <c r="U270" i="1" a="1"/>
  <c r="U270" i="1" s="1"/>
  <c r="V270" i="1" a="1"/>
  <c r="V270" i="1"/>
  <c r="W270" i="1" a="1"/>
  <c r="W270" i="1" s="1"/>
  <c r="U271" i="1" a="1"/>
  <c r="U271" i="1"/>
  <c r="V271" i="1" a="1"/>
  <c r="V271" i="1" s="1"/>
  <c r="W271" i="1" a="1"/>
  <c r="W271" i="1"/>
  <c r="U272" i="1" a="1"/>
  <c r="U272" i="1" s="1"/>
  <c r="V272" i="1" a="1"/>
  <c r="V272" i="1" s="1"/>
  <c r="W272" i="1" a="1"/>
  <c r="W272" i="1" s="1"/>
  <c r="U273" i="1" a="1"/>
  <c r="U273" i="1"/>
  <c r="V273" i="1" a="1"/>
  <c r="V273" i="1" s="1"/>
  <c r="W273" i="1" a="1"/>
  <c r="W273" i="1"/>
  <c r="U274" i="1" a="1"/>
  <c r="U274" i="1" s="1"/>
  <c r="V274" i="1" a="1"/>
  <c r="V274" i="1"/>
  <c r="W274" i="1" a="1"/>
  <c r="W274" i="1" s="1"/>
  <c r="U275" i="1" a="1"/>
  <c r="U275" i="1" s="1"/>
  <c r="V275" i="1" a="1"/>
  <c r="V275" i="1" s="1"/>
  <c r="W275" i="1" a="1"/>
  <c r="W275" i="1"/>
  <c r="U276" i="1" a="1"/>
  <c r="U276" i="1" s="1"/>
  <c r="V276" i="1" a="1"/>
  <c r="V276" i="1"/>
  <c r="W276" i="1" a="1"/>
  <c r="W276" i="1" s="1"/>
  <c r="U277" i="1" a="1"/>
  <c r="U277" i="1"/>
  <c r="V277" i="1" a="1"/>
  <c r="V277" i="1" s="1"/>
  <c r="W277" i="1" a="1"/>
  <c r="W277" i="1" s="1"/>
  <c r="U278" i="1" a="1"/>
  <c r="U278" i="1" s="1"/>
  <c r="V278" i="1" a="1"/>
  <c r="V278" i="1"/>
  <c r="W278" i="1" a="1"/>
  <c r="W278" i="1" s="1"/>
  <c r="U279" i="1" a="1"/>
  <c r="U279" i="1"/>
  <c r="V279" i="1" a="1"/>
  <c r="V279" i="1" s="1"/>
  <c r="W279" i="1" a="1"/>
  <c r="W279" i="1"/>
  <c r="U280" i="1" a="1"/>
  <c r="U280" i="1" s="1"/>
  <c r="V280" i="1" a="1"/>
  <c r="V280" i="1" s="1"/>
  <c r="W280" i="1" a="1"/>
  <c r="W280" i="1" s="1"/>
  <c r="U281" i="1" a="1"/>
  <c r="U281" i="1"/>
  <c r="V281" i="1" a="1"/>
  <c r="V281" i="1" s="1"/>
  <c r="W281" i="1" a="1"/>
  <c r="W281" i="1"/>
  <c r="U282" i="1" a="1"/>
  <c r="U282" i="1" s="1"/>
  <c r="V282" i="1" a="1"/>
  <c r="V282" i="1"/>
  <c r="W282" i="1" a="1"/>
  <c r="W282" i="1" s="1"/>
  <c r="U283" i="1" a="1"/>
  <c r="U283" i="1" s="1"/>
  <c r="V283" i="1" a="1"/>
  <c r="V283" i="1" s="1"/>
  <c r="W283" i="1" a="1"/>
  <c r="W283" i="1"/>
  <c r="U284" i="1" a="1"/>
  <c r="U284" i="1" s="1"/>
  <c r="V284" i="1" a="1"/>
  <c r="V284" i="1"/>
  <c r="W284" i="1" a="1"/>
  <c r="W284" i="1" s="1"/>
  <c r="U285" i="1" a="1"/>
  <c r="U285" i="1"/>
  <c r="V285" i="1" a="1"/>
  <c r="V285" i="1" s="1"/>
  <c r="W285" i="1" a="1"/>
  <c r="W285" i="1" s="1"/>
  <c r="U286" i="1" a="1"/>
  <c r="U286" i="1" s="1"/>
  <c r="V286" i="1" a="1"/>
  <c r="V286" i="1"/>
  <c r="W286" i="1" a="1"/>
  <c r="W286" i="1" s="1"/>
  <c r="U287" i="1" a="1"/>
  <c r="U287" i="1"/>
  <c r="V287" i="1" a="1"/>
  <c r="V287" i="1" s="1"/>
  <c r="W287" i="1" a="1"/>
  <c r="W287" i="1"/>
  <c r="U288" i="1" a="1"/>
  <c r="U288" i="1" s="1"/>
  <c r="V288" i="1" a="1"/>
  <c r="V288" i="1" s="1"/>
  <c r="W288" i="1" a="1"/>
  <c r="W288" i="1" s="1"/>
  <c r="U289" i="1" a="1"/>
  <c r="U289" i="1"/>
  <c r="V289" i="1" a="1"/>
  <c r="V289" i="1" s="1"/>
  <c r="W289" i="1" a="1"/>
  <c r="W289" i="1"/>
  <c r="U290" i="1" a="1"/>
  <c r="U290" i="1" s="1"/>
  <c r="V290" i="1" a="1"/>
  <c r="V290" i="1"/>
  <c r="W290" i="1" a="1"/>
  <c r="W290" i="1" s="1"/>
  <c r="U291" i="1" a="1"/>
  <c r="U291" i="1" s="1"/>
  <c r="V291" i="1" a="1"/>
  <c r="V291" i="1" s="1"/>
  <c r="W291" i="1" a="1"/>
  <c r="W291" i="1"/>
  <c r="U292" i="1" a="1"/>
  <c r="U292" i="1" s="1"/>
  <c r="V292" i="1" a="1"/>
  <c r="V292" i="1"/>
  <c r="W292" i="1" a="1"/>
  <c r="W292" i="1" s="1"/>
  <c r="U293" i="1" a="1"/>
  <c r="U293" i="1"/>
  <c r="V293" i="1" a="1"/>
  <c r="V293" i="1" s="1"/>
  <c r="W293" i="1" a="1"/>
  <c r="W293" i="1" s="1"/>
  <c r="U294" i="1" a="1"/>
  <c r="U294" i="1" s="1"/>
  <c r="V294" i="1" a="1"/>
  <c r="V294" i="1"/>
  <c r="W294" i="1" a="1"/>
  <c r="W294" i="1" s="1"/>
  <c r="U295" i="1" a="1"/>
  <c r="U295" i="1"/>
  <c r="V295" i="1" a="1"/>
  <c r="V295" i="1" s="1"/>
  <c r="W295" i="1" a="1"/>
  <c r="W295" i="1"/>
  <c r="U296" i="1" a="1"/>
  <c r="U296" i="1" s="1"/>
  <c r="V296" i="1" a="1"/>
  <c r="V296" i="1" s="1"/>
  <c r="W296" i="1" a="1"/>
  <c r="W296" i="1" s="1"/>
  <c r="U297" i="1" a="1"/>
  <c r="U297" i="1"/>
  <c r="V297" i="1" a="1"/>
  <c r="V297" i="1" s="1"/>
  <c r="W297" i="1" a="1"/>
  <c r="W297" i="1"/>
  <c r="U298" i="1" a="1"/>
  <c r="U298" i="1" s="1"/>
  <c r="V298" i="1" a="1"/>
  <c r="V298" i="1"/>
  <c r="W298" i="1" a="1"/>
  <c r="W298" i="1" s="1"/>
  <c r="U299" i="1" a="1"/>
  <c r="U299" i="1"/>
  <c r="V299" i="1" a="1"/>
  <c r="V299" i="1" s="1"/>
  <c r="W299" i="1" a="1"/>
  <c r="W299" i="1"/>
  <c r="U300" i="1" a="1"/>
  <c r="U300" i="1" s="1"/>
  <c r="V300" i="1" a="1"/>
  <c r="V300" i="1"/>
  <c r="W300" i="1" a="1"/>
  <c r="W300" i="1" s="1"/>
  <c r="U301" i="1" a="1"/>
  <c r="U301" i="1"/>
  <c r="V301" i="1" a="1"/>
  <c r="V301" i="1" s="1"/>
  <c r="W301" i="1" a="1"/>
  <c r="W301" i="1"/>
  <c r="U302" i="1" a="1"/>
  <c r="U302" i="1" s="1"/>
  <c r="V302" i="1" a="1"/>
  <c r="V302" i="1"/>
  <c r="W302" i="1" a="1"/>
  <c r="W302" i="1" s="1"/>
  <c r="U303" i="1" a="1"/>
  <c r="U303" i="1"/>
  <c r="V303" i="1" a="1"/>
  <c r="V303" i="1" s="1"/>
  <c r="W303" i="1" a="1"/>
  <c r="W303" i="1"/>
  <c r="U304" i="1" a="1"/>
  <c r="U304" i="1" s="1"/>
  <c r="V304" i="1" a="1"/>
  <c r="V304" i="1"/>
  <c r="W304" i="1" a="1"/>
  <c r="W304" i="1" s="1"/>
  <c r="U305" i="1" a="1"/>
  <c r="U305" i="1"/>
  <c r="V305" i="1" a="1"/>
  <c r="V305" i="1" s="1"/>
  <c r="W305" i="1" a="1"/>
  <c r="W305" i="1"/>
  <c r="U306" i="1" a="1"/>
  <c r="U306" i="1" s="1"/>
  <c r="V306" i="1" a="1"/>
  <c r="V306" i="1"/>
  <c r="W306" i="1" a="1"/>
  <c r="W306" i="1" s="1"/>
  <c r="U307" i="1" a="1"/>
  <c r="U307" i="1"/>
  <c r="V307" i="1" a="1"/>
  <c r="V307" i="1" s="1"/>
  <c r="W307" i="1" a="1"/>
  <c r="W307" i="1"/>
  <c r="U308" i="1" a="1"/>
  <c r="U308" i="1" s="1"/>
  <c r="V308" i="1" a="1"/>
  <c r="V308" i="1"/>
  <c r="W308" i="1" a="1"/>
  <c r="W308" i="1" s="1"/>
  <c r="U309" i="1" a="1"/>
  <c r="U309" i="1"/>
  <c r="V309" i="1" a="1"/>
  <c r="V309" i="1" s="1"/>
  <c r="W309" i="1" a="1"/>
  <c r="W309" i="1"/>
  <c r="U310" i="1" a="1"/>
  <c r="U310" i="1" s="1"/>
  <c r="V310" i="1" a="1"/>
  <c r="V310" i="1"/>
  <c r="W310" i="1" a="1"/>
  <c r="W310" i="1" s="1"/>
  <c r="U311" i="1" a="1"/>
  <c r="U311" i="1"/>
  <c r="V311" i="1" a="1"/>
  <c r="V311" i="1" s="1"/>
  <c r="W311" i="1" a="1"/>
  <c r="W311" i="1"/>
  <c r="U312" i="1" a="1"/>
  <c r="U312" i="1" s="1"/>
  <c r="V312" i="1" a="1"/>
  <c r="V312" i="1"/>
  <c r="W312" i="1" a="1"/>
  <c r="W312" i="1" s="1"/>
  <c r="U313" i="1" a="1"/>
  <c r="U313" i="1"/>
  <c r="V313" i="1" a="1"/>
  <c r="V313" i="1" s="1"/>
  <c r="W313" i="1" a="1"/>
  <c r="W313" i="1"/>
  <c r="U314" i="1" a="1"/>
  <c r="U314" i="1" s="1"/>
  <c r="V314" i="1" a="1"/>
  <c r="V314" i="1"/>
  <c r="W314" i="1" a="1"/>
  <c r="W314" i="1" s="1"/>
  <c r="U315" i="1" a="1"/>
  <c r="U315" i="1"/>
  <c r="V315" i="1" a="1"/>
  <c r="V315" i="1" s="1"/>
  <c r="W315" i="1" a="1"/>
  <c r="W315" i="1"/>
  <c r="U316" i="1" a="1"/>
  <c r="U316" i="1" s="1"/>
  <c r="V316" i="1" a="1"/>
  <c r="V316" i="1"/>
  <c r="W316" i="1" a="1"/>
  <c r="W316" i="1" s="1"/>
  <c r="U317" i="1" a="1"/>
  <c r="U317" i="1"/>
  <c r="V317" i="1" a="1"/>
  <c r="V317" i="1" s="1"/>
  <c r="W317" i="1" a="1"/>
  <c r="W317" i="1"/>
  <c r="U318" i="1" a="1"/>
  <c r="U318" i="1" s="1"/>
  <c r="V318" i="1" a="1"/>
  <c r="V318" i="1"/>
  <c r="W318" i="1" a="1"/>
  <c r="W318" i="1" s="1"/>
  <c r="U319" i="1" a="1"/>
  <c r="U319" i="1"/>
  <c r="V319" i="1" a="1"/>
  <c r="V319" i="1" s="1"/>
  <c r="W319" i="1" a="1"/>
  <c r="W319" i="1"/>
  <c r="U320" i="1" a="1"/>
  <c r="U320" i="1" s="1"/>
  <c r="V320" i="1" a="1"/>
  <c r="V320" i="1"/>
  <c r="W320" i="1" a="1"/>
  <c r="W320" i="1" s="1"/>
  <c r="U321" i="1" a="1"/>
  <c r="U321" i="1"/>
  <c r="V321" i="1" a="1"/>
  <c r="V321" i="1" s="1"/>
  <c r="W321" i="1" a="1"/>
  <c r="W321" i="1"/>
  <c r="U322" i="1" a="1"/>
  <c r="U322" i="1" s="1"/>
  <c r="V322" i="1" a="1"/>
  <c r="V322" i="1"/>
  <c r="W322" i="1" a="1"/>
  <c r="W322" i="1" s="1"/>
  <c r="U323" i="1" a="1"/>
  <c r="U323" i="1"/>
  <c r="V323" i="1" a="1"/>
  <c r="V323" i="1" s="1"/>
  <c r="W323" i="1" a="1"/>
  <c r="W323" i="1"/>
  <c r="U324" i="1" a="1"/>
  <c r="U324" i="1" s="1"/>
  <c r="V324" i="1" a="1"/>
  <c r="V324" i="1"/>
  <c r="W324" i="1" a="1"/>
  <c r="W324" i="1" s="1"/>
  <c r="U325" i="1" a="1"/>
  <c r="U325" i="1"/>
  <c r="V325" i="1" a="1"/>
  <c r="V325" i="1" s="1"/>
  <c r="W325" i="1" a="1"/>
  <c r="W325" i="1"/>
  <c r="U326" i="1" a="1"/>
  <c r="U326" i="1" s="1"/>
  <c r="V326" i="1" a="1"/>
  <c r="V326" i="1"/>
  <c r="W326" i="1" a="1"/>
  <c r="W326" i="1" s="1"/>
  <c r="U327" i="1" a="1"/>
  <c r="U327" i="1"/>
  <c r="V327" i="1" a="1"/>
  <c r="V327" i="1" s="1"/>
  <c r="W327" i="1" a="1"/>
  <c r="W327" i="1"/>
  <c r="U328" i="1" a="1"/>
  <c r="U328" i="1" s="1"/>
  <c r="V328" i="1" a="1"/>
  <c r="V328" i="1"/>
  <c r="W328" i="1" a="1"/>
  <c r="W328" i="1" s="1"/>
  <c r="U329" i="1" a="1"/>
  <c r="U329" i="1"/>
  <c r="V329" i="1" a="1"/>
  <c r="V329" i="1" s="1"/>
  <c r="W329" i="1" a="1"/>
  <c r="W329" i="1"/>
  <c r="U330" i="1" a="1"/>
  <c r="U330" i="1" s="1"/>
  <c r="V330" i="1" a="1"/>
  <c r="V330" i="1"/>
  <c r="W330" i="1" a="1"/>
  <c r="W330" i="1" s="1"/>
  <c r="U331" i="1" a="1"/>
  <c r="U331" i="1"/>
  <c r="V331" i="1" a="1"/>
  <c r="V331" i="1" s="1"/>
  <c r="W331" i="1" a="1"/>
  <c r="W331" i="1"/>
  <c r="U332" i="1" a="1"/>
  <c r="U332" i="1" s="1"/>
  <c r="V332" i="1" a="1"/>
  <c r="V332" i="1"/>
  <c r="W332" i="1" a="1"/>
  <c r="W332" i="1" s="1"/>
  <c r="U333" i="1" a="1"/>
  <c r="U333" i="1"/>
  <c r="V333" i="1" a="1"/>
  <c r="V333" i="1" s="1"/>
  <c r="W333" i="1" a="1"/>
  <c r="W333" i="1"/>
  <c r="U334" i="1" a="1"/>
  <c r="U334" i="1" s="1"/>
  <c r="V334" i="1" a="1"/>
  <c r="V334" i="1"/>
  <c r="W334" i="1" a="1"/>
  <c r="W334" i="1" s="1"/>
  <c r="U335" i="1" a="1"/>
  <c r="U335" i="1" s="1"/>
  <c r="V335" i="1" a="1"/>
  <c r="V335" i="1" s="1"/>
  <c r="W335" i="1" a="1"/>
  <c r="W335" i="1" s="1"/>
  <c r="U336" i="1" a="1"/>
  <c r="U336" i="1" s="1"/>
  <c r="V336" i="1" a="1"/>
  <c r="V336" i="1" s="1"/>
  <c r="W336" i="1" a="1"/>
  <c r="W336" i="1" s="1"/>
  <c r="U337" i="1" a="1"/>
  <c r="U337" i="1" s="1"/>
  <c r="V337" i="1" a="1"/>
  <c r="V337" i="1" s="1"/>
  <c r="W337" i="1" a="1"/>
  <c r="W337" i="1" s="1"/>
  <c r="U338" i="1" a="1"/>
  <c r="U338" i="1" s="1"/>
  <c r="V338" i="1" a="1"/>
  <c r="V338" i="1" s="1"/>
  <c r="W338" i="1" a="1"/>
  <c r="W338" i="1" s="1"/>
  <c r="U339" i="1" a="1"/>
  <c r="U339" i="1" s="1"/>
  <c r="V339" i="1" a="1"/>
  <c r="V339" i="1" s="1"/>
  <c r="W339" i="1" a="1"/>
  <c r="W339" i="1" s="1"/>
  <c r="U340" i="1" a="1"/>
  <c r="U340" i="1" s="1"/>
  <c r="V340" i="1" a="1"/>
  <c r="V340" i="1" s="1"/>
  <c r="W340" i="1" a="1"/>
  <c r="W340" i="1" s="1"/>
  <c r="U341" i="1" a="1"/>
  <c r="U341" i="1" s="1"/>
  <c r="V341" i="1" a="1"/>
  <c r="V341" i="1" s="1"/>
  <c r="W341" i="1" a="1"/>
  <c r="W341" i="1" s="1"/>
  <c r="U342" i="1" a="1"/>
  <c r="U342" i="1" s="1"/>
  <c r="V342" i="1" a="1"/>
  <c r="V342" i="1" s="1"/>
  <c r="W342" i="1" a="1"/>
  <c r="W342" i="1" s="1"/>
  <c r="U343" i="1" a="1"/>
  <c r="U343" i="1" s="1"/>
  <c r="V343" i="1" a="1"/>
  <c r="V343" i="1" s="1"/>
  <c r="W343" i="1" a="1"/>
  <c r="W343" i="1" s="1"/>
  <c r="U344" i="1" a="1"/>
  <c r="U344" i="1" s="1"/>
  <c r="V344" i="1" a="1"/>
  <c r="V344" i="1" s="1"/>
  <c r="W344" i="1" a="1"/>
  <c r="W344" i="1" s="1"/>
  <c r="U345" i="1" a="1"/>
  <c r="U345" i="1" s="1"/>
  <c r="V345" i="1" a="1"/>
  <c r="V345" i="1" s="1"/>
  <c r="W345" i="1" a="1"/>
  <c r="W345" i="1" s="1"/>
  <c r="U346" i="1" a="1"/>
  <c r="U346" i="1" s="1"/>
  <c r="V346" i="1" a="1"/>
  <c r="V346" i="1" s="1"/>
  <c r="W346" i="1" a="1"/>
  <c r="W346" i="1" s="1"/>
  <c r="U347" i="1" a="1"/>
  <c r="U347" i="1" s="1"/>
  <c r="V347" i="1" a="1"/>
  <c r="V347" i="1" s="1"/>
  <c r="W347" i="1" a="1"/>
  <c r="W347" i="1" s="1"/>
  <c r="U348" i="1" a="1"/>
  <c r="U348" i="1" s="1"/>
  <c r="V348" i="1" a="1"/>
  <c r="V348" i="1" s="1"/>
  <c r="W348" i="1" a="1"/>
  <c r="W348" i="1" s="1"/>
  <c r="U349" i="1" a="1"/>
  <c r="U349" i="1" s="1"/>
  <c r="V349" i="1" a="1"/>
  <c r="V349" i="1" s="1"/>
  <c r="W349" i="1" a="1"/>
  <c r="W349" i="1" s="1"/>
  <c r="U350" i="1" a="1"/>
  <c r="U350" i="1" s="1"/>
  <c r="V350" i="1" a="1"/>
  <c r="V350" i="1" s="1"/>
  <c r="W350" i="1" a="1"/>
  <c r="W350" i="1" s="1"/>
  <c r="U351" i="1" a="1"/>
  <c r="U351" i="1" s="1"/>
  <c r="V351" i="1" a="1"/>
  <c r="V351" i="1" s="1"/>
  <c r="W351" i="1" a="1"/>
  <c r="W351" i="1" s="1"/>
  <c r="U352" i="1" a="1"/>
  <c r="U352" i="1" s="1"/>
  <c r="V352" i="1" a="1"/>
  <c r="V352" i="1" s="1"/>
  <c r="W352" i="1" a="1"/>
  <c r="W352" i="1" s="1"/>
  <c r="U353" i="1" a="1"/>
  <c r="U353" i="1" s="1"/>
  <c r="V353" i="1" a="1"/>
  <c r="V353" i="1" s="1"/>
  <c r="W353" i="1" a="1"/>
  <c r="W353" i="1" s="1"/>
  <c r="U354" i="1" a="1"/>
  <c r="U354" i="1" s="1"/>
  <c r="V354" i="1" a="1"/>
  <c r="V354" i="1" s="1"/>
  <c r="W354" i="1" a="1"/>
  <c r="W354" i="1" s="1"/>
  <c r="U355" i="1" a="1"/>
  <c r="U355" i="1" s="1"/>
  <c r="V355" i="1" a="1"/>
  <c r="V355" i="1" s="1"/>
  <c r="W355" i="1" a="1"/>
  <c r="W355" i="1" s="1"/>
  <c r="U356" i="1" a="1"/>
  <c r="U356" i="1" s="1"/>
  <c r="V356" i="1" a="1"/>
  <c r="V356" i="1" s="1"/>
  <c r="W356" i="1" a="1"/>
  <c r="W356" i="1" s="1"/>
  <c r="U357" i="1" a="1"/>
  <c r="U357" i="1" s="1"/>
  <c r="V357" i="1" a="1"/>
  <c r="V357" i="1" s="1"/>
  <c r="W357" i="1" a="1"/>
  <c r="W357" i="1" s="1"/>
  <c r="U358" i="1" a="1"/>
  <c r="U358" i="1" s="1"/>
  <c r="V358" i="1" a="1"/>
  <c r="V358" i="1" s="1"/>
  <c r="W358" i="1" a="1"/>
  <c r="W358" i="1" s="1"/>
  <c r="U359" i="1" a="1"/>
  <c r="U359" i="1" s="1"/>
  <c r="V359" i="1" a="1"/>
  <c r="V359" i="1" s="1"/>
  <c r="W359" i="1" a="1"/>
  <c r="W359" i="1" s="1"/>
  <c r="U360" i="1" a="1"/>
  <c r="U360" i="1" s="1"/>
  <c r="V360" i="1" a="1"/>
  <c r="V360" i="1" s="1"/>
  <c r="W360" i="1" a="1"/>
  <c r="W360" i="1" s="1"/>
  <c r="U361" i="1" a="1"/>
  <c r="U361" i="1" s="1"/>
  <c r="V361" i="1" a="1"/>
  <c r="V361" i="1" s="1"/>
  <c r="W361" i="1" a="1"/>
  <c r="W361" i="1" s="1"/>
  <c r="U362" i="1" a="1"/>
  <c r="U362" i="1" s="1"/>
  <c r="V362" i="1" a="1"/>
  <c r="V362" i="1" s="1"/>
  <c r="W362" i="1" a="1"/>
  <c r="W362" i="1" s="1"/>
  <c r="U363" i="1" a="1"/>
  <c r="U363" i="1" s="1"/>
  <c r="V363" i="1" a="1"/>
  <c r="V363" i="1" s="1"/>
  <c r="W363" i="1" a="1"/>
  <c r="W363" i="1" s="1"/>
  <c r="U364" i="1" a="1"/>
  <c r="U364" i="1" s="1"/>
  <c r="V364" i="1" a="1"/>
  <c r="V364" i="1" s="1"/>
  <c r="W364" i="1" a="1"/>
  <c r="W364" i="1" s="1"/>
  <c r="U365" i="1" a="1"/>
  <c r="U365" i="1" s="1"/>
  <c r="V365" i="1" a="1"/>
  <c r="V365" i="1" s="1"/>
  <c r="W365" i="1" a="1"/>
  <c r="W365" i="1" s="1"/>
  <c r="U366" i="1" a="1"/>
  <c r="U366" i="1" s="1"/>
  <c r="V366" i="1" a="1"/>
  <c r="V366" i="1" s="1"/>
  <c r="W366" i="1" a="1"/>
  <c r="W366" i="1" s="1"/>
  <c r="U367" i="1" a="1"/>
  <c r="U367" i="1" s="1"/>
  <c r="V367" i="1" a="1"/>
  <c r="V367" i="1" s="1"/>
  <c r="W367" i="1" a="1"/>
  <c r="W367" i="1" s="1"/>
  <c r="U368" i="1" a="1"/>
  <c r="U368" i="1" s="1"/>
  <c r="V368" i="1" a="1"/>
  <c r="V368" i="1" s="1"/>
  <c r="W368" i="1" a="1"/>
  <c r="W368" i="1" s="1"/>
  <c r="U369" i="1" a="1"/>
  <c r="U369" i="1" s="1"/>
  <c r="V369" i="1" a="1"/>
  <c r="V369" i="1" s="1"/>
  <c r="W369" i="1" a="1"/>
  <c r="W369" i="1" s="1"/>
  <c r="U370" i="1" a="1"/>
  <c r="U370" i="1" s="1"/>
  <c r="V370" i="1" a="1"/>
  <c r="V370" i="1" s="1"/>
  <c r="W370" i="1" a="1"/>
  <c r="W370" i="1" s="1"/>
  <c r="U371" i="1" a="1"/>
  <c r="U371" i="1" s="1"/>
  <c r="V371" i="1" a="1"/>
  <c r="V371" i="1" s="1"/>
  <c r="W371" i="1" a="1"/>
  <c r="W371" i="1" s="1"/>
  <c r="U372" i="1" a="1"/>
  <c r="U372" i="1" s="1"/>
  <c r="V372" i="1" a="1"/>
  <c r="V372" i="1" s="1"/>
  <c r="W372" i="1" a="1"/>
  <c r="W372" i="1" s="1"/>
  <c r="U373" i="1" a="1"/>
  <c r="U373" i="1" s="1"/>
  <c r="V373" i="1" a="1"/>
  <c r="V373" i="1" s="1"/>
  <c r="W373" i="1" a="1"/>
  <c r="W373" i="1" s="1"/>
  <c r="U374" i="1" a="1"/>
  <c r="U374" i="1" s="1"/>
  <c r="V374" i="1" a="1"/>
  <c r="V374" i="1" s="1"/>
  <c r="W374" i="1" a="1"/>
  <c r="W374" i="1" s="1"/>
  <c r="U375" i="1" a="1"/>
  <c r="U375" i="1" s="1"/>
  <c r="V375" i="1" a="1"/>
  <c r="V375" i="1" s="1"/>
  <c r="W375" i="1" a="1"/>
  <c r="W375" i="1" s="1"/>
  <c r="U376" i="1" a="1"/>
  <c r="U376" i="1" s="1"/>
  <c r="V376" i="1" a="1"/>
  <c r="V376" i="1" s="1"/>
  <c r="W376" i="1" a="1"/>
  <c r="W376" i="1" s="1"/>
  <c r="U377" i="1" a="1"/>
  <c r="U377" i="1" s="1"/>
  <c r="V377" i="1" a="1"/>
  <c r="V377" i="1" s="1"/>
  <c r="W377" i="1" a="1"/>
  <c r="W377" i="1" s="1"/>
  <c r="U378" i="1" a="1"/>
  <c r="U378" i="1" s="1"/>
  <c r="V378" i="1" a="1"/>
  <c r="V378" i="1" s="1"/>
  <c r="W378" i="1" a="1"/>
  <c r="W378" i="1" s="1"/>
  <c r="U379" i="1" a="1"/>
  <c r="U379" i="1" s="1"/>
  <c r="V379" i="1" a="1"/>
  <c r="V379" i="1" s="1"/>
  <c r="W379" i="1" a="1"/>
  <c r="W379" i="1" s="1"/>
  <c r="U380" i="1" a="1"/>
  <c r="U380" i="1" s="1"/>
  <c r="V380" i="1" a="1"/>
  <c r="V380" i="1" s="1"/>
  <c r="W380" i="1" a="1"/>
  <c r="W380" i="1" s="1"/>
  <c r="U381" i="1" a="1"/>
  <c r="U381" i="1" s="1"/>
  <c r="V381" i="1" a="1"/>
  <c r="V381" i="1" s="1"/>
  <c r="W381" i="1" a="1"/>
  <c r="W381" i="1" s="1"/>
  <c r="U382" i="1" a="1"/>
  <c r="U382" i="1" s="1"/>
  <c r="V382" i="1" a="1"/>
  <c r="V382" i="1" s="1"/>
  <c r="W382" i="1" a="1"/>
  <c r="W382" i="1" s="1"/>
  <c r="U383" i="1" a="1"/>
  <c r="U383" i="1" s="1"/>
  <c r="V383" i="1" a="1"/>
  <c r="V383" i="1" s="1"/>
  <c r="W383" i="1" a="1"/>
  <c r="W383" i="1" s="1"/>
  <c r="U384" i="1" a="1"/>
  <c r="U384" i="1" s="1"/>
  <c r="V384" i="1" a="1"/>
  <c r="V384" i="1" s="1"/>
  <c r="W384" i="1" a="1"/>
  <c r="W384" i="1" s="1"/>
  <c r="U385" i="1" a="1"/>
  <c r="U385" i="1" s="1"/>
  <c r="V385" i="1" a="1"/>
  <c r="V385" i="1" s="1"/>
  <c r="W385" i="1" a="1"/>
  <c r="W385" i="1" s="1"/>
  <c r="U386" i="1" a="1"/>
  <c r="U386" i="1" s="1"/>
  <c r="V386" i="1" a="1"/>
  <c r="V386" i="1" s="1"/>
  <c r="W386" i="1" a="1"/>
  <c r="W386" i="1" s="1"/>
  <c r="U387" i="1" a="1"/>
  <c r="U387" i="1" s="1"/>
  <c r="V387" i="1" a="1"/>
  <c r="V387" i="1" s="1"/>
  <c r="W387" i="1" a="1"/>
  <c r="W387" i="1" s="1"/>
  <c r="U388" i="1" a="1"/>
  <c r="U388" i="1" s="1"/>
  <c r="V388" i="1" a="1"/>
  <c r="V388" i="1" s="1"/>
  <c r="W388" i="1" a="1"/>
  <c r="W388" i="1" s="1"/>
  <c r="U389" i="1" a="1"/>
  <c r="U389" i="1" s="1"/>
  <c r="V389" i="1" a="1"/>
  <c r="V389" i="1" s="1"/>
  <c r="W389" i="1" a="1"/>
  <c r="W389" i="1" s="1"/>
  <c r="U390" i="1" a="1"/>
  <c r="U390" i="1" s="1"/>
  <c r="V390" i="1" a="1"/>
  <c r="V390" i="1" s="1"/>
  <c r="W390" i="1" a="1"/>
  <c r="W390" i="1" s="1"/>
  <c r="U391" i="1" a="1"/>
  <c r="U391" i="1" s="1"/>
  <c r="V391" i="1" a="1"/>
  <c r="V391" i="1" s="1"/>
  <c r="W391" i="1" a="1"/>
  <c r="W391" i="1"/>
  <c r="U392" i="1" a="1"/>
  <c r="U392" i="1" s="1"/>
  <c r="V392" i="1" a="1"/>
  <c r="V392" i="1" s="1"/>
  <c r="W392" i="1" a="1"/>
  <c r="W392" i="1" s="1"/>
  <c r="U393" i="1" a="1"/>
  <c r="U393" i="1"/>
  <c r="V393" i="1" a="1"/>
  <c r="V393" i="1" s="1"/>
  <c r="W393" i="1" a="1"/>
  <c r="W393" i="1" s="1"/>
  <c r="U394" i="1" a="1"/>
  <c r="U394" i="1" s="1"/>
  <c r="V394" i="1" a="1"/>
  <c r="V394" i="1"/>
  <c r="W394" i="1" a="1"/>
  <c r="W394" i="1" s="1"/>
  <c r="U395" i="1" a="1"/>
  <c r="U395" i="1" s="1"/>
  <c r="V395" i="1" a="1"/>
  <c r="V395" i="1" s="1"/>
  <c r="W395" i="1" a="1"/>
  <c r="W395" i="1"/>
  <c r="U396" i="1" a="1"/>
  <c r="U396" i="1" s="1"/>
  <c r="V396" i="1" a="1"/>
  <c r="V396" i="1" s="1"/>
  <c r="W396" i="1" a="1"/>
  <c r="W396" i="1" s="1"/>
  <c r="U397" i="1" a="1"/>
  <c r="U397" i="1"/>
  <c r="V397" i="1" a="1"/>
  <c r="V397" i="1" s="1"/>
  <c r="W397" i="1" a="1"/>
  <c r="W397" i="1" s="1"/>
  <c r="U398" i="1" a="1"/>
  <c r="U398" i="1" s="1"/>
  <c r="V398" i="1" a="1"/>
  <c r="V398" i="1"/>
  <c r="W398" i="1" a="1"/>
  <c r="W398" i="1" s="1"/>
  <c r="U399" i="1" a="1"/>
  <c r="U399" i="1" s="1"/>
  <c r="V399" i="1" a="1"/>
  <c r="V399" i="1" s="1"/>
  <c r="W399" i="1" a="1"/>
  <c r="W399" i="1"/>
  <c r="U400" i="1" a="1"/>
  <c r="U400" i="1" s="1"/>
  <c r="V400" i="1" a="1"/>
  <c r="V400" i="1" s="1"/>
  <c r="W400" i="1" a="1"/>
  <c r="W400" i="1" s="1"/>
  <c r="U401" i="1" a="1"/>
  <c r="U401" i="1"/>
  <c r="V401" i="1" a="1"/>
  <c r="V401" i="1" s="1"/>
  <c r="W401" i="1" a="1"/>
  <c r="W401" i="1" s="1"/>
  <c r="U402" i="1" a="1"/>
  <c r="U402" i="1" s="1"/>
  <c r="V402" i="1" a="1"/>
  <c r="V402" i="1"/>
  <c r="W402" i="1" a="1"/>
  <c r="W402" i="1" s="1"/>
  <c r="U403" i="1" a="1"/>
  <c r="U403" i="1" s="1"/>
  <c r="V403" i="1" a="1"/>
  <c r="V403" i="1" s="1"/>
  <c r="W403" i="1" a="1"/>
  <c r="W403" i="1"/>
  <c r="U404" i="1" a="1"/>
  <c r="U404" i="1" s="1"/>
  <c r="V404" i="1" a="1"/>
  <c r="V404" i="1" s="1"/>
  <c r="W404" i="1" a="1"/>
  <c r="W404" i="1" s="1"/>
  <c r="U405" i="1" a="1"/>
  <c r="U405" i="1"/>
  <c r="V405" i="1" a="1"/>
  <c r="V405" i="1" s="1"/>
  <c r="W405" i="1" a="1"/>
  <c r="W405" i="1" s="1"/>
  <c r="U406" i="1" a="1"/>
  <c r="U406" i="1" s="1"/>
  <c r="V406" i="1" a="1"/>
  <c r="V406" i="1"/>
  <c r="W406" i="1" a="1"/>
  <c r="W406" i="1" s="1"/>
  <c r="U407" i="1" a="1"/>
  <c r="U407" i="1" s="1"/>
  <c r="V407" i="1" a="1"/>
  <c r="V407" i="1" s="1"/>
  <c r="W407" i="1" a="1"/>
  <c r="W407" i="1"/>
  <c r="U408" i="1" a="1"/>
  <c r="U408" i="1" s="1"/>
  <c r="V408" i="1" a="1"/>
  <c r="V408" i="1" s="1"/>
  <c r="W408" i="1" a="1"/>
  <c r="W408" i="1" s="1"/>
  <c r="U409" i="1" a="1"/>
  <c r="U409" i="1"/>
  <c r="V409" i="1" a="1"/>
  <c r="V409" i="1" s="1"/>
  <c r="W409" i="1" a="1"/>
  <c r="W409" i="1" s="1"/>
  <c r="U410" i="1" a="1"/>
  <c r="U410" i="1" s="1"/>
  <c r="V410" i="1" a="1"/>
  <c r="V410" i="1"/>
  <c r="W410" i="1" a="1"/>
  <c r="W410" i="1" s="1"/>
  <c r="U411" i="1" a="1"/>
  <c r="U411" i="1" s="1"/>
  <c r="V411" i="1" a="1"/>
  <c r="V411" i="1" s="1"/>
  <c r="W411" i="1" a="1"/>
  <c r="W411" i="1"/>
  <c r="U412" i="1" a="1"/>
  <c r="U412" i="1" s="1"/>
  <c r="V412" i="1" a="1"/>
  <c r="V412" i="1" s="1"/>
  <c r="W412" i="1" a="1"/>
  <c r="W412" i="1" s="1"/>
  <c r="U413" i="1" a="1"/>
  <c r="U413" i="1"/>
  <c r="V413" i="1" a="1"/>
  <c r="V413" i="1" s="1"/>
  <c r="W413" i="1" a="1"/>
  <c r="W413" i="1" s="1"/>
  <c r="U414" i="1" a="1"/>
  <c r="U414" i="1" s="1"/>
  <c r="V414" i="1" a="1"/>
  <c r="V414" i="1"/>
  <c r="W414" i="1" a="1"/>
  <c r="W414" i="1" s="1"/>
  <c r="U415" i="1" a="1"/>
  <c r="U415" i="1" s="1"/>
  <c r="V415" i="1" a="1"/>
  <c r="V415" i="1" s="1"/>
  <c r="W415" i="1" a="1"/>
  <c r="W415" i="1"/>
  <c r="U416" i="1" a="1"/>
  <c r="U416" i="1" s="1"/>
  <c r="V416" i="1" a="1"/>
  <c r="V416" i="1" s="1"/>
  <c r="W416" i="1" a="1"/>
  <c r="W416" i="1" s="1"/>
  <c r="U417" i="1" a="1"/>
  <c r="U417" i="1"/>
  <c r="V417" i="1" a="1"/>
  <c r="V417" i="1" s="1"/>
  <c r="W417" i="1" a="1"/>
  <c r="W417" i="1" s="1"/>
  <c r="U418" i="1" a="1"/>
  <c r="U418" i="1" s="1"/>
  <c r="V418" i="1" a="1"/>
  <c r="V418" i="1"/>
  <c r="W418" i="1" a="1"/>
  <c r="W418" i="1" s="1"/>
  <c r="U419" i="1" a="1"/>
  <c r="U419" i="1" s="1"/>
  <c r="V419" i="1" a="1"/>
  <c r="V419" i="1" s="1"/>
  <c r="W419" i="1" a="1"/>
  <c r="W419" i="1"/>
  <c r="U420" i="1" a="1"/>
  <c r="U420" i="1" s="1"/>
  <c r="V420" i="1" a="1"/>
  <c r="V420" i="1" s="1"/>
  <c r="W420" i="1" a="1"/>
  <c r="W420" i="1" s="1"/>
  <c r="U421" i="1" a="1"/>
  <c r="U421" i="1"/>
  <c r="V421" i="1" a="1"/>
  <c r="V421" i="1" s="1"/>
  <c r="W421" i="1" a="1"/>
  <c r="W421" i="1" s="1"/>
  <c r="U422" i="1" a="1"/>
  <c r="U422" i="1" s="1"/>
  <c r="V422" i="1" a="1"/>
  <c r="V422" i="1"/>
  <c r="W422" i="1" a="1"/>
  <c r="W422" i="1" s="1"/>
  <c r="U423" i="1" a="1"/>
  <c r="U423" i="1" s="1"/>
  <c r="V423" i="1" a="1"/>
  <c r="V423" i="1" s="1"/>
  <c r="W423" i="1" a="1"/>
  <c r="W423" i="1"/>
  <c r="U424" i="1" a="1"/>
  <c r="U424" i="1" s="1"/>
  <c r="V424" i="1" a="1"/>
  <c r="V424" i="1" s="1"/>
  <c r="W424" i="1" a="1"/>
  <c r="W424" i="1" s="1"/>
  <c r="U425" i="1" a="1"/>
  <c r="U425" i="1"/>
  <c r="V425" i="1" a="1"/>
  <c r="V425" i="1" s="1"/>
  <c r="W425" i="1" a="1"/>
  <c r="W425" i="1" s="1"/>
  <c r="U426" i="1" a="1"/>
  <c r="U426" i="1" s="1"/>
  <c r="V426" i="1" a="1"/>
  <c r="V426" i="1"/>
  <c r="W426" i="1" a="1"/>
  <c r="W426" i="1" s="1"/>
  <c r="U427" i="1" a="1"/>
  <c r="U427" i="1" s="1"/>
  <c r="V427" i="1" a="1"/>
  <c r="V427" i="1" s="1"/>
  <c r="W427" i="1" a="1"/>
  <c r="W427" i="1"/>
  <c r="U428" i="1" a="1"/>
  <c r="U428" i="1" s="1"/>
  <c r="V428" i="1" a="1"/>
  <c r="V428" i="1" s="1"/>
  <c r="W428" i="1" a="1"/>
  <c r="W428" i="1" s="1"/>
  <c r="U429" i="1" a="1"/>
  <c r="U429" i="1"/>
  <c r="V429" i="1" a="1"/>
  <c r="V429" i="1" s="1"/>
  <c r="W429" i="1" a="1"/>
  <c r="W429" i="1" s="1"/>
  <c r="U430" i="1" a="1"/>
  <c r="U430" i="1" s="1"/>
  <c r="V430" i="1" a="1"/>
  <c r="V430" i="1"/>
  <c r="W430" i="1" a="1"/>
  <c r="W430" i="1" s="1"/>
  <c r="U431" i="1" a="1"/>
  <c r="U431" i="1" s="1"/>
  <c r="V431" i="1" a="1"/>
  <c r="V431" i="1" s="1"/>
  <c r="W431" i="1" a="1"/>
  <c r="W431" i="1"/>
  <c r="U432" i="1" a="1"/>
  <c r="U432" i="1" s="1"/>
  <c r="V432" i="1" a="1"/>
  <c r="V432" i="1" s="1"/>
  <c r="W432" i="1" a="1"/>
  <c r="W432" i="1" s="1"/>
  <c r="U433" i="1" a="1"/>
  <c r="U433" i="1"/>
  <c r="V433" i="1" a="1"/>
  <c r="V433" i="1" s="1"/>
  <c r="W433" i="1" a="1"/>
  <c r="W433" i="1" s="1"/>
  <c r="U434" i="1" a="1"/>
  <c r="U434" i="1" s="1"/>
  <c r="V434" i="1" a="1"/>
  <c r="V434" i="1"/>
  <c r="W434" i="1" a="1"/>
  <c r="W434" i="1" s="1"/>
  <c r="U435" i="1" a="1"/>
  <c r="U435" i="1" s="1"/>
  <c r="V435" i="1" a="1"/>
  <c r="V435" i="1" s="1"/>
  <c r="W435" i="1" a="1"/>
  <c r="W435" i="1"/>
  <c r="U436" i="1" a="1"/>
  <c r="U436" i="1" s="1"/>
  <c r="V436" i="1" a="1"/>
  <c r="V436" i="1" s="1"/>
  <c r="W436" i="1" a="1"/>
  <c r="W436" i="1" s="1"/>
  <c r="U437" i="1" a="1"/>
  <c r="U437" i="1"/>
  <c r="V437" i="1" a="1"/>
  <c r="V437" i="1" s="1"/>
  <c r="W437" i="1" a="1"/>
  <c r="W437" i="1" s="1"/>
  <c r="U438" i="1" a="1"/>
  <c r="U438" i="1" s="1"/>
  <c r="V438" i="1" a="1"/>
  <c r="V438" i="1"/>
  <c r="W438" i="1" a="1"/>
  <c r="W438" i="1" s="1"/>
  <c r="U439" i="1" a="1"/>
  <c r="U439" i="1" s="1"/>
  <c r="V439" i="1" a="1"/>
  <c r="V439" i="1" s="1"/>
  <c r="W439" i="1" a="1"/>
  <c r="W439" i="1"/>
  <c r="U440" i="1" a="1"/>
  <c r="U440" i="1" s="1"/>
  <c r="V440" i="1" a="1"/>
  <c r="V440" i="1" s="1"/>
  <c r="W440" i="1" a="1"/>
  <c r="W440" i="1" s="1"/>
  <c r="U441" i="1" a="1"/>
  <c r="U441" i="1"/>
  <c r="V441" i="1" a="1"/>
  <c r="V441" i="1" s="1"/>
  <c r="W441" i="1" a="1"/>
  <c r="W441" i="1" s="1"/>
  <c r="U442" i="1" a="1"/>
  <c r="U442" i="1" s="1"/>
  <c r="V442" i="1" a="1"/>
  <c r="V442" i="1"/>
  <c r="W442" i="1" a="1"/>
  <c r="W442" i="1" s="1"/>
  <c r="U443" i="1" a="1"/>
  <c r="U443" i="1" s="1"/>
  <c r="V443" i="1" a="1"/>
  <c r="V443" i="1" s="1"/>
  <c r="W443" i="1" a="1"/>
  <c r="W443" i="1"/>
  <c r="U444" i="1" a="1"/>
  <c r="U444" i="1" s="1"/>
  <c r="V444" i="1" a="1"/>
  <c r="V444" i="1" s="1"/>
  <c r="W444" i="1" a="1"/>
  <c r="W444" i="1" s="1"/>
  <c r="U445" i="1" a="1"/>
  <c r="U445" i="1"/>
  <c r="V445" i="1" a="1"/>
  <c r="V445" i="1" s="1"/>
  <c r="W445" i="1" a="1"/>
  <c r="W445" i="1" s="1"/>
  <c r="U446" i="1" a="1"/>
  <c r="U446" i="1" s="1"/>
  <c r="V446" i="1" a="1"/>
  <c r="V446" i="1"/>
  <c r="W446" i="1" a="1"/>
  <c r="W446" i="1" s="1"/>
  <c r="U447" i="1" a="1"/>
  <c r="U447" i="1" s="1"/>
  <c r="V447" i="1" a="1"/>
  <c r="V447" i="1" s="1"/>
  <c r="W447" i="1" a="1"/>
  <c r="W447" i="1"/>
  <c r="U448" i="1" a="1"/>
  <c r="U448" i="1" s="1"/>
  <c r="V448" i="1" a="1"/>
  <c r="V448" i="1" s="1"/>
  <c r="W448" i="1" a="1"/>
  <c r="W448" i="1" s="1"/>
  <c r="U449" i="1" a="1"/>
  <c r="U449" i="1"/>
  <c r="V449" i="1" a="1"/>
  <c r="V449" i="1" s="1"/>
  <c r="W449" i="1" a="1"/>
  <c r="W449" i="1" s="1"/>
  <c r="U450" i="1" a="1"/>
  <c r="U450" i="1" s="1"/>
  <c r="V450" i="1" a="1"/>
  <c r="V450" i="1"/>
  <c r="W450" i="1" a="1"/>
  <c r="W450" i="1" s="1"/>
  <c r="U451" i="1" a="1"/>
  <c r="U451" i="1" s="1"/>
  <c r="V451" i="1" a="1"/>
  <c r="V451" i="1" s="1"/>
  <c r="W451" i="1" a="1"/>
  <c r="W451" i="1"/>
  <c r="U452" i="1" a="1"/>
  <c r="U452" i="1" s="1"/>
  <c r="V452" i="1" a="1"/>
  <c r="V452" i="1" s="1"/>
  <c r="W452" i="1" a="1"/>
  <c r="W452" i="1" s="1"/>
  <c r="U453" i="1" a="1"/>
  <c r="U453" i="1"/>
  <c r="V453" i="1" a="1"/>
  <c r="V453" i="1" s="1"/>
  <c r="W453" i="1" a="1"/>
  <c r="W453" i="1" s="1"/>
  <c r="U454" i="1" a="1"/>
  <c r="U454" i="1" s="1"/>
  <c r="V454" i="1" a="1"/>
  <c r="V454" i="1"/>
  <c r="W454" i="1" a="1"/>
  <c r="W454" i="1" s="1"/>
  <c r="U455" i="1" a="1"/>
  <c r="U455" i="1" s="1"/>
  <c r="V455" i="1" a="1"/>
  <c r="V455" i="1" s="1"/>
  <c r="W455" i="1" a="1"/>
  <c r="W455" i="1"/>
  <c r="U456" i="1" a="1"/>
  <c r="U456" i="1" s="1"/>
  <c r="V456" i="1" a="1"/>
  <c r="V456" i="1" s="1"/>
  <c r="W456" i="1" a="1"/>
  <c r="W456" i="1" s="1"/>
  <c r="U457" i="1" a="1"/>
  <c r="U457" i="1"/>
  <c r="V457" i="1" a="1"/>
  <c r="V457" i="1" s="1"/>
  <c r="W457" i="1" a="1"/>
  <c r="W457" i="1" s="1"/>
  <c r="U458" i="1" a="1"/>
  <c r="U458" i="1" s="1"/>
  <c r="V458" i="1" a="1"/>
  <c r="V458" i="1"/>
  <c r="W458" i="1" a="1"/>
  <c r="W458" i="1" s="1"/>
  <c r="U459" i="1" a="1"/>
  <c r="U459" i="1" s="1"/>
  <c r="V459" i="1" a="1"/>
  <c r="V459" i="1" s="1"/>
  <c r="W459" i="1" a="1"/>
  <c r="W459" i="1"/>
  <c r="U460" i="1" a="1"/>
  <c r="U460" i="1" s="1"/>
  <c r="V460" i="1" a="1"/>
  <c r="V460" i="1" s="1"/>
  <c r="W460" i="1" a="1"/>
  <c r="W460" i="1" s="1"/>
  <c r="U461" i="1" a="1"/>
  <c r="U461" i="1"/>
  <c r="V461" i="1" a="1"/>
  <c r="V461" i="1" s="1"/>
  <c r="W461" i="1" a="1"/>
  <c r="W461" i="1" s="1"/>
  <c r="U462" i="1" a="1"/>
  <c r="U462" i="1" s="1"/>
  <c r="V462" i="1" a="1"/>
  <c r="V462" i="1"/>
  <c r="W462" i="1" a="1"/>
  <c r="W462" i="1" s="1"/>
  <c r="U463" i="1" a="1"/>
  <c r="U463" i="1" s="1"/>
  <c r="V463" i="1" a="1"/>
  <c r="V463" i="1" s="1"/>
  <c r="W463" i="1" a="1"/>
  <c r="W463" i="1"/>
  <c r="U464" i="1" a="1"/>
  <c r="U464" i="1" s="1"/>
  <c r="V464" i="1" a="1"/>
  <c r="V464" i="1" s="1"/>
  <c r="W464" i="1" a="1"/>
  <c r="W464" i="1" s="1"/>
  <c r="U465" i="1" a="1"/>
  <c r="U465" i="1"/>
  <c r="V465" i="1" a="1"/>
  <c r="V465" i="1" s="1"/>
  <c r="W465" i="1" a="1"/>
  <c r="W465" i="1" s="1"/>
  <c r="U466" i="1" a="1"/>
  <c r="U466" i="1" s="1"/>
  <c r="V466" i="1" a="1"/>
  <c r="V466" i="1"/>
  <c r="W466" i="1" a="1"/>
  <c r="W466" i="1" s="1"/>
  <c r="U467" i="1" a="1"/>
  <c r="U467" i="1" s="1"/>
  <c r="V467" i="1" a="1"/>
  <c r="V467" i="1" s="1"/>
  <c r="W467" i="1" a="1"/>
  <c r="W467" i="1"/>
  <c r="U468" i="1" a="1"/>
  <c r="U468" i="1" s="1"/>
  <c r="V468" i="1" a="1"/>
  <c r="V468" i="1" s="1"/>
  <c r="W468" i="1" a="1"/>
  <c r="W468" i="1" s="1"/>
  <c r="U469" i="1" a="1"/>
  <c r="U469" i="1"/>
  <c r="V469" i="1" a="1"/>
  <c r="V469" i="1" s="1"/>
  <c r="W469" i="1" a="1"/>
  <c r="W469" i="1" s="1"/>
  <c r="U470" i="1" a="1"/>
  <c r="U470" i="1" s="1"/>
  <c r="V470" i="1" a="1"/>
  <c r="V470" i="1"/>
  <c r="W470" i="1" a="1"/>
  <c r="W470" i="1" s="1"/>
  <c r="U471" i="1" a="1"/>
  <c r="U471" i="1" s="1"/>
  <c r="V471" i="1" a="1"/>
  <c r="V471" i="1" s="1"/>
  <c r="W471" i="1" a="1"/>
  <c r="W471" i="1"/>
  <c r="U472" i="1" a="1"/>
  <c r="U472" i="1" s="1"/>
  <c r="V472" i="1" a="1"/>
  <c r="V472" i="1" s="1"/>
  <c r="W472" i="1" a="1"/>
  <c r="W472" i="1" s="1"/>
  <c r="U473" i="1" a="1"/>
  <c r="U473" i="1"/>
  <c r="V473" i="1" a="1"/>
  <c r="V473" i="1" s="1"/>
  <c r="W473" i="1" a="1"/>
  <c r="W473" i="1" s="1"/>
  <c r="U474" i="1" a="1"/>
  <c r="U474" i="1" s="1"/>
  <c r="V474" i="1" a="1"/>
  <c r="V474" i="1"/>
  <c r="W474" i="1" a="1"/>
  <c r="W474" i="1" s="1"/>
  <c r="U475" i="1" a="1"/>
  <c r="U475" i="1" s="1"/>
  <c r="V475" i="1" a="1"/>
  <c r="V475" i="1" s="1"/>
  <c r="W475" i="1" a="1"/>
  <c r="W475" i="1"/>
  <c r="U476" i="1" a="1"/>
  <c r="U476" i="1" s="1"/>
  <c r="V476" i="1" a="1"/>
  <c r="V476" i="1" s="1"/>
  <c r="W476" i="1" a="1"/>
  <c r="W476" i="1" s="1"/>
  <c r="U477" i="1" a="1"/>
  <c r="U477" i="1"/>
  <c r="V477" i="1" a="1"/>
  <c r="V477" i="1" s="1"/>
  <c r="W477" i="1" a="1"/>
  <c r="W477" i="1" s="1"/>
  <c r="U478" i="1" a="1"/>
  <c r="U478" i="1" s="1"/>
  <c r="V478" i="1" a="1"/>
  <c r="V478" i="1"/>
  <c r="W478" i="1" a="1"/>
  <c r="W478" i="1" s="1"/>
  <c r="U479" i="1" a="1"/>
  <c r="U479" i="1"/>
  <c r="V479" i="1" a="1"/>
  <c r="V479" i="1" s="1"/>
  <c r="W479" i="1" a="1"/>
  <c r="W479" i="1"/>
  <c r="U480" i="1" a="1"/>
  <c r="U480" i="1" s="1"/>
  <c r="V480" i="1" a="1"/>
  <c r="V480" i="1" s="1"/>
  <c r="W480" i="1" a="1"/>
  <c r="W480" i="1" s="1"/>
  <c r="U481" i="1" a="1"/>
  <c r="U481" i="1"/>
  <c r="V481" i="1" a="1"/>
  <c r="V481" i="1" s="1"/>
  <c r="W481" i="1" a="1"/>
  <c r="W481" i="1"/>
  <c r="U482" i="1" a="1"/>
  <c r="U482" i="1" s="1"/>
  <c r="V482" i="1" a="1"/>
  <c r="V482" i="1"/>
  <c r="W482" i="1" a="1"/>
  <c r="W482" i="1" s="1"/>
  <c r="U483" i="1" a="1"/>
  <c r="U483" i="1" s="1"/>
  <c r="V483" i="1" a="1"/>
  <c r="V483" i="1" s="1"/>
  <c r="W483" i="1" a="1"/>
  <c r="W483" i="1"/>
  <c r="U484" i="1" a="1"/>
  <c r="U484" i="1" s="1"/>
  <c r="V484" i="1" a="1"/>
  <c r="V484" i="1"/>
  <c r="W484" i="1" a="1"/>
  <c r="W484" i="1" s="1"/>
  <c r="U485" i="1" a="1"/>
  <c r="U485" i="1"/>
  <c r="V485" i="1" a="1"/>
  <c r="V485" i="1" s="1"/>
  <c r="W485" i="1" a="1"/>
  <c r="W485" i="1" s="1"/>
  <c r="U486" i="1" a="1"/>
  <c r="U486" i="1" s="1"/>
  <c r="V486" i="1" a="1"/>
  <c r="V486" i="1"/>
  <c r="W486" i="1" a="1"/>
  <c r="W486" i="1" s="1"/>
  <c r="U487" i="1" a="1"/>
  <c r="U487" i="1"/>
  <c r="V487" i="1" a="1"/>
  <c r="V487" i="1" s="1"/>
  <c r="W487" i="1" a="1"/>
  <c r="W487" i="1"/>
  <c r="U488" i="1" a="1"/>
  <c r="U488" i="1" s="1"/>
  <c r="V488" i="1" a="1"/>
  <c r="V488" i="1" s="1"/>
  <c r="W488" i="1" a="1"/>
  <c r="W488" i="1" s="1"/>
  <c r="U489" i="1" a="1"/>
  <c r="U489" i="1"/>
  <c r="V489" i="1" a="1"/>
  <c r="V489" i="1" s="1"/>
  <c r="W489" i="1" a="1"/>
  <c r="W489" i="1"/>
  <c r="U490" i="1" a="1"/>
  <c r="U490" i="1" s="1"/>
  <c r="V490" i="1" a="1"/>
  <c r="V490" i="1"/>
  <c r="W490" i="1" a="1"/>
  <c r="W490" i="1" s="1"/>
  <c r="U491" i="1" a="1"/>
  <c r="U491" i="1" s="1"/>
  <c r="V491" i="1" a="1"/>
  <c r="V491" i="1" s="1"/>
  <c r="W491" i="1" a="1"/>
  <c r="W491" i="1"/>
  <c r="U492" i="1" a="1"/>
  <c r="U492" i="1" s="1"/>
  <c r="V492" i="1" a="1"/>
  <c r="V492" i="1"/>
  <c r="W492" i="1" a="1"/>
  <c r="W492" i="1" s="1"/>
  <c r="U493" i="1" a="1"/>
  <c r="U493" i="1"/>
  <c r="V493" i="1" a="1"/>
  <c r="V493" i="1" s="1"/>
  <c r="W493" i="1" a="1"/>
  <c r="W493" i="1" s="1"/>
  <c r="U494" i="1" a="1"/>
  <c r="U494" i="1" s="1"/>
  <c r="V494" i="1" a="1"/>
  <c r="V494" i="1"/>
  <c r="W494" i="1" a="1"/>
  <c r="W494" i="1" s="1"/>
  <c r="U495" i="1" a="1"/>
  <c r="U495" i="1"/>
  <c r="V495" i="1" a="1"/>
  <c r="V495" i="1" s="1"/>
  <c r="W495" i="1" a="1"/>
  <c r="W495" i="1"/>
  <c r="U496" i="1" a="1"/>
  <c r="U496" i="1" s="1"/>
  <c r="V496" i="1" a="1"/>
  <c r="V496" i="1" s="1"/>
  <c r="W496" i="1" a="1"/>
  <c r="W496" i="1" s="1"/>
  <c r="U497" i="1" a="1"/>
  <c r="U497" i="1"/>
  <c r="V497" i="1" a="1"/>
  <c r="V497" i="1" s="1"/>
  <c r="W497" i="1" a="1"/>
  <c r="W497" i="1"/>
  <c r="U498" i="1" a="1"/>
  <c r="U498" i="1" s="1"/>
  <c r="V498" i="1" a="1"/>
  <c r="V498" i="1"/>
  <c r="W498" i="1" a="1"/>
  <c r="W498" i="1" s="1"/>
  <c r="U499" i="1" a="1"/>
  <c r="U499" i="1" s="1"/>
  <c r="V499" i="1" a="1"/>
  <c r="V499" i="1" s="1"/>
  <c r="W499" i="1" a="1"/>
  <c r="W499" i="1"/>
  <c r="U500" i="1" a="1"/>
  <c r="U500" i="1" s="1"/>
  <c r="V500" i="1" a="1"/>
  <c r="V500" i="1"/>
  <c r="W500" i="1" a="1"/>
  <c r="W500" i="1" s="1"/>
  <c r="U501" i="1" a="1"/>
  <c r="U501" i="1"/>
  <c r="V501" i="1" a="1"/>
  <c r="V501" i="1" s="1"/>
  <c r="W501" i="1" a="1"/>
  <c r="W501" i="1" s="1"/>
  <c r="W2" i="1" a="1"/>
  <c r="W2" i="1" s="1"/>
  <c r="V2" i="1" a="1"/>
  <c r="V2" i="1" s="1"/>
  <c r="U2" i="1" a="1"/>
  <c r="U2" i="1" s="1"/>
  <c r="R3" i="1" a="1"/>
  <c r="R3" i="1" s="1"/>
  <c r="S3" i="1" a="1"/>
  <c r="S3" i="1"/>
  <c r="R4" i="1" a="1"/>
  <c r="R4" i="1" s="1"/>
  <c r="S4" i="1" a="1"/>
  <c r="S4" i="1"/>
  <c r="R5" i="1" a="1"/>
  <c r="R5" i="1" s="1"/>
  <c r="S5" i="1" a="1"/>
  <c r="S5" i="1" s="1"/>
  <c r="R6" i="1" a="1"/>
  <c r="R6" i="1" s="1"/>
  <c r="S6" i="1" a="1"/>
  <c r="S6" i="1"/>
  <c r="R7" i="1" a="1"/>
  <c r="R7" i="1" s="1"/>
  <c r="S7" i="1" a="1"/>
  <c r="S7" i="1"/>
  <c r="R8" i="1" a="1"/>
  <c r="R8" i="1" s="1"/>
  <c r="S8" i="1" a="1"/>
  <c r="S8" i="1"/>
  <c r="R9" i="1" a="1"/>
  <c r="R9" i="1" s="1"/>
  <c r="S9" i="1" a="1"/>
  <c r="S9" i="1" s="1"/>
  <c r="R10" i="1" a="1"/>
  <c r="R10" i="1" s="1"/>
  <c r="S10" i="1" a="1"/>
  <c r="S10" i="1"/>
  <c r="R11" i="1" a="1"/>
  <c r="R11" i="1" s="1"/>
  <c r="S11" i="1" a="1"/>
  <c r="S11" i="1"/>
  <c r="R12" i="1" a="1"/>
  <c r="R12" i="1" s="1"/>
  <c r="S12" i="1" a="1"/>
  <c r="S12" i="1"/>
  <c r="R13" i="1" a="1"/>
  <c r="R13" i="1" s="1"/>
  <c r="S13" i="1" a="1"/>
  <c r="S13" i="1" s="1"/>
  <c r="R14" i="1" a="1"/>
  <c r="R14" i="1" s="1"/>
  <c r="S14" i="1" a="1"/>
  <c r="S14" i="1"/>
  <c r="R15" i="1" a="1"/>
  <c r="R15" i="1" s="1"/>
  <c r="S15" i="1" a="1"/>
  <c r="S15" i="1"/>
  <c r="R16" i="1" a="1"/>
  <c r="R16" i="1" s="1"/>
  <c r="S16" i="1" a="1"/>
  <c r="S16" i="1"/>
  <c r="R17" i="1" a="1"/>
  <c r="R17" i="1" s="1"/>
  <c r="S17" i="1" a="1"/>
  <c r="S17" i="1" s="1"/>
  <c r="R18" i="1" a="1"/>
  <c r="R18" i="1" s="1"/>
  <c r="S18" i="1" a="1"/>
  <c r="S18" i="1"/>
  <c r="R19" i="1" a="1"/>
  <c r="R19" i="1" s="1"/>
  <c r="S19" i="1" a="1"/>
  <c r="S19" i="1"/>
  <c r="R20" i="1" a="1"/>
  <c r="R20" i="1" s="1"/>
  <c r="S20" i="1" a="1"/>
  <c r="S20" i="1"/>
  <c r="R21" i="1" a="1"/>
  <c r="R21" i="1" s="1"/>
  <c r="S21" i="1" a="1"/>
  <c r="S21" i="1" s="1"/>
  <c r="R22" i="1" a="1"/>
  <c r="R22" i="1" s="1"/>
  <c r="S22" i="1" a="1"/>
  <c r="S22" i="1"/>
  <c r="R23" i="1" a="1"/>
  <c r="R23" i="1" s="1"/>
  <c r="S23" i="1" a="1"/>
  <c r="S23" i="1"/>
  <c r="R24" i="1" a="1"/>
  <c r="R24" i="1" s="1"/>
  <c r="S24" i="1" a="1"/>
  <c r="S24" i="1"/>
  <c r="R25" i="1" a="1"/>
  <c r="R25" i="1" s="1"/>
  <c r="S25" i="1" a="1"/>
  <c r="S25" i="1" s="1"/>
  <c r="R26" i="1" a="1"/>
  <c r="R26" i="1" s="1"/>
  <c r="S26" i="1" a="1"/>
  <c r="S26" i="1"/>
  <c r="R27" i="1" a="1"/>
  <c r="R27" i="1" s="1"/>
  <c r="S27" i="1" a="1"/>
  <c r="S27" i="1"/>
  <c r="R28" i="1" a="1"/>
  <c r="R28" i="1" s="1"/>
  <c r="S28" i="1" a="1"/>
  <c r="S28" i="1"/>
  <c r="R29" i="1" a="1"/>
  <c r="R29" i="1" s="1"/>
  <c r="S29" i="1" a="1"/>
  <c r="S29" i="1" s="1"/>
  <c r="R30" i="1" a="1"/>
  <c r="R30" i="1" s="1"/>
  <c r="S30" i="1" a="1"/>
  <c r="S30" i="1"/>
  <c r="R31" i="1" a="1"/>
  <c r="R31" i="1" s="1"/>
  <c r="S31" i="1" a="1"/>
  <c r="S31" i="1"/>
  <c r="R32" i="1" a="1"/>
  <c r="R32" i="1" s="1"/>
  <c r="S32" i="1" a="1"/>
  <c r="S32" i="1"/>
  <c r="R33" i="1" a="1"/>
  <c r="R33" i="1" s="1"/>
  <c r="S33" i="1" a="1"/>
  <c r="S33" i="1" s="1"/>
  <c r="R34" i="1" a="1"/>
  <c r="R34" i="1" s="1"/>
  <c r="S34" i="1" a="1"/>
  <c r="S34" i="1"/>
  <c r="R35" i="1" a="1"/>
  <c r="R35" i="1" s="1"/>
  <c r="S35" i="1" a="1"/>
  <c r="S35" i="1"/>
  <c r="R36" i="1" a="1"/>
  <c r="R36" i="1" s="1"/>
  <c r="S36" i="1" a="1"/>
  <c r="S36" i="1"/>
  <c r="R37" i="1" a="1"/>
  <c r="R37" i="1" s="1"/>
  <c r="S37" i="1" a="1"/>
  <c r="S37" i="1" s="1"/>
  <c r="R38" i="1" a="1"/>
  <c r="R38" i="1" s="1"/>
  <c r="S38" i="1" a="1"/>
  <c r="S38" i="1"/>
  <c r="R39" i="1" a="1"/>
  <c r="R39" i="1" s="1"/>
  <c r="S39" i="1" a="1"/>
  <c r="S39" i="1"/>
  <c r="R40" i="1" a="1"/>
  <c r="R40" i="1" s="1"/>
  <c r="S40" i="1" a="1"/>
  <c r="S40" i="1"/>
  <c r="R41" i="1" a="1"/>
  <c r="R41" i="1" s="1"/>
  <c r="S41" i="1" a="1"/>
  <c r="S41" i="1" s="1"/>
  <c r="R42" i="1" a="1"/>
  <c r="R42" i="1" s="1"/>
  <c r="S42" i="1" a="1"/>
  <c r="S42" i="1"/>
  <c r="R43" i="1" a="1"/>
  <c r="R43" i="1" s="1"/>
  <c r="S43" i="1" a="1"/>
  <c r="S43" i="1"/>
  <c r="R44" i="1" a="1"/>
  <c r="R44" i="1" s="1"/>
  <c r="S44" i="1" a="1"/>
  <c r="S44" i="1"/>
  <c r="R45" i="1" a="1"/>
  <c r="R45" i="1" s="1"/>
  <c r="S45" i="1" a="1"/>
  <c r="S45" i="1" s="1"/>
  <c r="R46" i="1" a="1"/>
  <c r="R46" i="1" s="1"/>
  <c r="S46" i="1" a="1"/>
  <c r="S46" i="1"/>
  <c r="R47" i="1" a="1"/>
  <c r="R47" i="1" s="1"/>
  <c r="S47" i="1" a="1"/>
  <c r="S47" i="1"/>
  <c r="R48" i="1" a="1"/>
  <c r="R48" i="1" s="1"/>
  <c r="S48" i="1" a="1"/>
  <c r="S48" i="1"/>
  <c r="R49" i="1" a="1"/>
  <c r="R49" i="1" s="1"/>
  <c r="S49" i="1" a="1"/>
  <c r="S49" i="1" s="1"/>
  <c r="R50" i="1" a="1"/>
  <c r="R50" i="1" s="1"/>
  <c r="S50" i="1" a="1"/>
  <c r="S50" i="1"/>
  <c r="R51" i="1" a="1"/>
  <c r="R51" i="1" s="1"/>
  <c r="S51" i="1" a="1"/>
  <c r="S51" i="1"/>
  <c r="R52" i="1" a="1"/>
  <c r="R52" i="1" s="1"/>
  <c r="S52" i="1" a="1"/>
  <c r="S52" i="1"/>
  <c r="R53" i="1" a="1"/>
  <c r="R53" i="1" s="1"/>
  <c r="S53" i="1" a="1"/>
  <c r="S53" i="1" s="1"/>
  <c r="R54" i="1" a="1"/>
  <c r="R54" i="1" s="1"/>
  <c r="S54" i="1" a="1"/>
  <c r="S54" i="1"/>
  <c r="R55" i="1" a="1"/>
  <c r="R55" i="1" s="1"/>
  <c r="S55" i="1" a="1"/>
  <c r="S55" i="1" s="1"/>
  <c r="R56" i="1" a="1"/>
  <c r="R56" i="1" s="1"/>
  <c r="S56" i="1" a="1"/>
  <c r="S56" i="1"/>
  <c r="R57" i="1" a="1"/>
  <c r="R57" i="1" s="1"/>
  <c r="S57" i="1" a="1"/>
  <c r="S57" i="1" s="1"/>
  <c r="R58" i="1" a="1"/>
  <c r="R58" i="1" s="1"/>
  <c r="S58" i="1" a="1"/>
  <c r="S58" i="1"/>
  <c r="R59" i="1" a="1"/>
  <c r="R59" i="1" s="1"/>
  <c r="S59" i="1" a="1"/>
  <c r="S59" i="1" s="1"/>
  <c r="R60" i="1" a="1"/>
  <c r="R60" i="1" s="1"/>
  <c r="S60" i="1" a="1"/>
  <c r="S60" i="1"/>
  <c r="R61" i="1" a="1"/>
  <c r="R61" i="1" s="1"/>
  <c r="S61" i="1" a="1"/>
  <c r="S61" i="1" s="1"/>
  <c r="R62" i="1" a="1"/>
  <c r="R62" i="1" s="1"/>
  <c r="S62" i="1" a="1"/>
  <c r="S62" i="1"/>
  <c r="R63" i="1" a="1"/>
  <c r="R63" i="1" s="1"/>
  <c r="S63" i="1" a="1"/>
  <c r="S63" i="1" s="1"/>
  <c r="R64" i="1" a="1"/>
  <c r="R64" i="1" s="1"/>
  <c r="S64" i="1" a="1"/>
  <c r="S64" i="1"/>
  <c r="R65" i="1" a="1"/>
  <c r="R65" i="1" s="1"/>
  <c r="S65" i="1" a="1"/>
  <c r="S65" i="1" s="1"/>
  <c r="R66" i="1" a="1"/>
  <c r="R66" i="1" s="1"/>
  <c r="S66" i="1" a="1"/>
  <c r="S66" i="1"/>
  <c r="R67" i="1" a="1"/>
  <c r="R67" i="1" s="1"/>
  <c r="S67" i="1" a="1"/>
  <c r="S67" i="1" s="1"/>
  <c r="R68" i="1" a="1"/>
  <c r="R68" i="1" s="1"/>
  <c r="S68" i="1" a="1"/>
  <c r="S68" i="1"/>
  <c r="R69" i="1" a="1"/>
  <c r="R69" i="1" s="1"/>
  <c r="S69" i="1" a="1"/>
  <c r="S69" i="1" s="1"/>
  <c r="R70" i="1" a="1"/>
  <c r="R70" i="1" s="1"/>
  <c r="S70" i="1" a="1"/>
  <c r="S70" i="1"/>
  <c r="R71" i="1" a="1"/>
  <c r="R71" i="1" s="1"/>
  <c r="S71" i="1" a="1"/>
  <c r="S71" i="1" s="1"/>
  <c r="R72" i="1" a="1"/>
  <c r="R72" i="1" s="1"/>
  <c r="S72" i="1" a="1"/>
  <c r="S72" i="1"/>
  <c r="R73" i="1" a="1"/>
  <c r="R73" i="1" s="1"/>
  <c r="S73" i="1" a="1"/>
  <c r="S73" i="1" s="1"/>
  <c r="R74" i="1" a="1"/>
  <c r="R74" i="1" s="1"/>
  <c r="S74" i="1" a="1"/>
  <c r="S74" i="1"/>
  <c r="R75" i="1" a="1"/>
  <c r="R75" i="1" s="1"/>
  <c r="S75" i="1" a="1"/>
  <c r="S75" i="1" s="1"/>
  <c r="R76" i="1" a="1"/>
  <c r="R76" i="1" s="1"/>
  <c r="S76" i="1" a="1"/>
  <c r="S76" i="1"/>
  <c r="R77" i="1" a="1"/>
  <c r="R77" i="1" s="1"/>
  <c r="S77" i="1" a="1"/>
  <c r="S77" i="1" s="1"/>
  <c r="R78" i="1" a="1"/>
  <c r="R78" i="1" s="1"/>
  <c r="S78" i="1" a="1"/>
  <c r="S78" i="1"/>
  <c r="R79" i="1" a="1"/>
  <c r="R79" i="1" s="1"/>
  <c r="S79" i="1" a="1"/>
  <c r="S79" i="1" s="1"/>
  <c r="R80" i="1" a="1"/>
  <c r="R80" i="1" s="1"/>
  <c r="S80" i="1" a="1"/>
  <c r="S80" i="1"/>
  <c r="R81" i="1" a="1"/>
  <c r="R81" i="1" s="1"/>
  <c r="S81" i="1" a="1"/>
  <c r="S81" i="1" s="1"/>
  <c r="R82" i="1" a="1"/>
  <c r="R82" i="1" s="1"/>
  <c r="S82" i="1" a="1"/>
  <c r="S82" i="1"/>
  <c r="R83" i="1" a="1"/>
  <c r="R83" i="1" s="1"/>
  <c r="S83" i="1" a="1"/>
  <c r="S83" i="1"/>
  <c r="R84" i="1" a="1"/>
  <c r="R84" i="1" s="1"/>
  <c r="S84" i="1" a="1"/>
  <c r="S84" i="1"/>
  <c r="R85" i="1" a="1"/>
  <c r="R85" i="1" s="1"/>
  <c r="S85" i="1" a="1"/>
  <c r="S85" i="1" s="1"/>
  <c r="R86" i="1" a="1"/>
  <c r="R86" i="1" s="1"/>
  <c r="S86" i="1" a="1"/>
  <c r="S86" i="1"/>
  <c r="R87" i="1" a="1"/>
  <c r="R87" i="1" s="1"/>
  <c r="S87" i="1" a="1"/>
  <c r="S87" i="1" s="1"/>
  <c r="R88" i="1" a="1"/>
  <c r="R88" i="1" s="1"/>
  <c r="S88" i="1" a="1"/>
  <c r="S88" i="1"/>
  <c r="R89" i="1" a="1"/>
  <c r="R89" i="1" s="1"/>
  <c r="S89" i="1" a="1"/>
  <c r="S89" i="1" s="1"/>
  <c r="R90" i="1" a="1"/>
  <c r="R90" i="1" s="1"/>
  <c r="S90" i="1" a="1"/>
  <c r="S90" i="1"/>
  <c r="R91" i="1" a="1"/>
  <c r="R91" i="1" s="1"/>
  <c r="S91" i="1" a="1"/>
  <c r="S91" i="1" s="1"/>
  <c r="R92" i="1" a="1"/>
  <c r="R92" i="1" s="1"/>
  <c r="S92" i="1" a="1"/>
  <c r="S92" i="1"/>
  <c r="R93" i="1" a="1"/>
  <c r="R93" i="1" s="1"/>
  <c r="S93" i="1" a="1"/>
  <c r="S93" i="1" s="1"/>
  <c r="R94" i="1" a="1"/>
  <c r="R94" i="1" s="1"/>
  <c r="S94" i="1" a="1"/>
  <c r="S94" i="1"/>
  <c r="R95" i="1" a="1"/>
  <c r="R95" i="1" s="1"/>
  <c r="S95" i="1" a="1"/>
  <c r="S95" i="1" s="1"/>
  <c r="R96" i="1" a="1"/>
  <c r="R96" i="1" s="1"/>
  <c r="S96" i="1" a="1"/>
  <c r="S96" i="1"/>
  <c r="R97" i="1" a="1"/>
  <c r="R97" i="1" s="1"/>
  <c r="S97" i="1" a="1"/>
  <c r="S97" i="1" s="1"/>
  <c r="R98" i="1" a="1"/>
  <c r="R98" i="1" s="1"/>
  <c r="S98" i="1" a="1"/>
  <c r="S98" i="1" s="1"/>
  <c r="R99" i="1" a="1"/>
  <c r="R99" i="1" s="1"/>
  <c r="S99" i="1" a="1"/>
  <c r="S99" i="1" s="1"/>
  <c r="R100" i="1" a="1"/>
  <c r="R100" i="1" s="1"/>
  <c r="S100" i="1" a="1"/>
  <c r="S100" i="1" s="1"/>
  <c r="R101" i="1" a="1"/>
  <c r="R101" i="1" s="1"/>
  <c r="S101" i="1" a="1"/>
  <c r="S101" i="1"/>
  <c r="R102" i="1" a="1"/>
  <c r="R102" i="1" s="1"/>
  <c r="S102" i="1" a="1"/>
  <c r="S102" i="1" s="1"/>
  <c r="R103" i="1" a="1"/>
  <c r="R103" i="1" s="1"/>
  <c r="S103" i="1" a="1"/>
  <c r="S103" i="1" s="1"/>
  <c r="R104" i="1" a="1"/>
  <c r="R104" i="1" s="1"/>
  <c r="S104" i="1" a="1"/>
  <c r="S104" i="1"/>
  <c r="R105" i="1" a="1"/>
  <c r="R105" i="1" s="1"/>
  <c r="S105" i="1" a="1"/>
  <c r="S105" i="1"/>
  <c r="R106" i="1" a="1"/>
  <c r="R106" i="1" s="1"/>
  <c r="S106" i="1" a="1"/>
  <c r="S106" i="1" s="1"/>
  <c r="R107" i="1" a="1"/>
  <c r="R107" i="1" s="1"/>
  <c r="S107" i="1" a="1"/>
  <c r="S107" i="1" s="1"/>
  <c r="R108" i="1" a="1"/>
  <c r="R108" i="1" s="1"/>
  <c r="S108" i="1" a="1"/>
  <c r="S108" i="1" s="1"/>
  <c r="R109" i="1" a="1"/>
  <c r="R109" i="1" s="1"/>
  <c r="S109" i="1" a="1"/>
  <c r="S109" i="1"/>
  <c r="R110" i="1" a="1"/>
  <c r="R110" i="1" s="1"/>
  <c r="S110" i="1" a="1"/>
  <c r="S110" i="1" s="1"/>
  <c r="R111" i="1" a="1"/>
  <c r="R111" i="1" s="1"/>
  <c r="S111" i="1" a="1"/>
  <c r="S111" i="1"/>
  <c r="R112" i="1" a="1"/>
  <c r="R112" i="1" s="1"/>
  <c r="S112" i="1" a="1"/>
  <c r="S112" i="1" s="1"/>
  <c r="R113" i="1" a="1"/>
  <c r="R113" i="1" s="1"/>
  <c r="S113" i="1" a="1"/>
  <c r="S113" i="1"/>
  <c r="R114" i="1" a="1"/>
  <c r="R114" i="1" s="1"/>
  <c r="S114" i="1" a="1"/>
  <c r="S114" i="1" s="1"/>
  <c r="R115" i="1" a="1"/>
  <c r="R115" i="1" s="1"/>
  <c r="S115" i="1" a="1"/>
  <c r="S115" i="1"/>
  <c r="R116" i="1" a="1"/>
  <c r="R116" i="1" s="1"/>
  <c r="S116" i="1" a="1"/>
  <c r="S116" i="1" s="1"/>
  <c r="R117" i="1" a="1"/>
  <c r="R117" i="1" s="1"/>
  <c r="S117" i="1" a="1"/>
  <c r="S117" i="1"/>
  <c r="R118" i="1" a="1"/>
  <c r="R118" i="1" s="1"/>
  <c r="S118" i="1" a="1"/>
  <c r="S118" i="1" s="1"/>
  <c r="R119" i="1" a="1"/>
  <c r="R119" i="1" s="1"/>
  <c r="S119" i="1" a="1"/>
  <c r="S119" i="1"/>
  <c r="R120" i="1" a="1"/>
  <c r="R120" i="1" s="1"/>
  <c r="S120" i="1" a="1"/>
  <c r="S120" i="1" s="1"/>
  <c r="R121" i="1" a="1"/>
  <c r="R121" i="1" s="1"/>
  <c r="S121" i="1" a="1"/>
  <c r="S121" i="1"/>
  <c r="R122" i="1" a="1"/>
  <c r="R122" i="1" s="1"/>
  <c r="S122" i="1" a="1"/>
  <c r="S122" i="1" s="1"/>
  <c r="R123" i="1" a="1"/>
  <c r="R123" i="1" s="1"/>
  <c r="S123" i="1" a="1"/>
  <c r="S123" i="1"/>
  <c r="R124" i="1" a="1"/>
  <c r="R124" i="1" s="1"/>
  <c r="S124" i="1" a="1"/>
  <c r="S124" i="1" s="1"/>
  <c r="R125" i="1" a="1"/>
  <c r="R125" i="1" s="1"/>
  <c r="S125" i="1" a="1"/>
  <c r="S125" i="1" s="1"/>
  <c r="R126" i="1" a="1"/>
  <c r="R126" i="1" s="1"/>
  <c r="S126" i="1" a="1"/>
  <c r="S126" i="1"/>
  <c r="R127" i="1" a="1"/>
  <c r="R127" i="1" s="1"/>
  <c r="S127" i="1" a="1"/>
  <c r="S127" i="1"/>
  <c r="R128" i="1" a="1"/>
  <c r="R128" i="1" s="1"/>
  <c r="S128" i="1" a="1"/>
  <c r="S128" i="1" s="1"/>
  <c r="R129" i="1" a="1"/>
  <c r="R129" i="1" s="1"/>
  <c r="S129" i="1" a="1"/>
  <c r="S129" i="1" s="1"/>
  <c r="R130" i="1" a="1"/>
  <c r="R130" i="1" s="1"/>
  <c r="S130" i="1" a="1"/>
  <c r="S130" i="1"/>
  <c r="R131" i="1" a="1"/>
  <c r="R131" i="1" s="1"/>
  <c r="S131" i="1" a="1"/>
  <c r="S131" i="1"/>
  <c r="R132" i="1" a="1"/>
  <c r="R132" i="1" s="1"/>
  <c r="S132" i="1" a="1"/>
  <c r="S132" i="1" s="1"/>
  <c r="R133" i="1" a="1"/>
  <c r="R133" i="1" s="1"/>
  <c r="S133" i="1" a="1"/>
  <c r="S133" i="1" s="1"/>
  <c r="R134" i="1" a="1"/>
  <c r="R134" i="1" s="1"/>
  <c r="S134" i="1" a="1"/>
  <c r="S134" i="1"/>
  <c r="R135" i="1" a="1"/>
  <c r="R135" i="1" s="1"/>
  <c r="S135" i="1" a="1"/>
  <c r="S135" i="1"/>
  <c r="R136" i="1" a="1"/>
  <c r="R136" i="1" s="1"/>
  <c r="S136" i="1" a="1"/>
  <c r="S136" i="1" s="1"/>
  <c r="R137" i="1" a="1"/>
  <c r="R137" i="1" s="1"/>
  <c r="S137" i="1" a="1"/>
  <c r="S137" i="1" s="1"/>
  <c r="R138" i="1" a="1"/>
  <c r="R138" i="1" s="1"/>
  <c r="S138" i="1" a="1"/>
  <c r="S138" i="1"/>
  <c r="R139" i="1" a="1"/>
  <c r="R139" i="1" s="1"/>
  <c r="S139" i="1" a="1"/>
  <c r="S139" i="1"/>
  <c r="R140" i="1" a="1"/>
  <c r="R140" i="1" s="1"/>
  <c r="S140" i="1" a="1"/>
  <c r="S140" i="1" s="1"/>
  <c r="R141" i="1" a="1"/>
  <c r="R141" i="1" s="1"/>
  <c r="S141" i="1" a="1"/>
  <c r="S141" i="1" s="1"/>
  <c r="R142" i="1" a="1"/>
  <c r="R142" i="1" s="1"/>
  <c r="S142" i="1" a="1"/>
  <c r="S142" i="1"/>
  <c r="R143" i="1" a="1"/>
  <c r="R143" i="1" s="1"/>
  <c r="S143" i="1" a="1"/>
  <c r="S143" i="1"/>
  <c r="R144" i="1" a="1"/>
  <c r="R144" i="1" s="1"/>
  <c r="S144" i="1" a="1"/>
  <c r="S144" i="1" s="1"/>
  <c r="R145" i="1" a="1"/>
  <c r="R145" i="1" s="1"/>
  <c r="S145" i="1" a="1"/>
  <c r="S145" i="1" s="1"/>
  <c r="R146" i="1" a="1"/>
  <c r="R146" i="1" s="1"/>
  <c r="S146" i="1" a="1"/>
  <c r="S146" i="1"/>
  <c r="R147" i="1" a="1"/>
  <c r="R147" i="1" s="1"/>
  <c r="S147" i="1" a="1"/>
  <c r="S147" i="1"/>
  <c r="R148" i="1" a="1"/>
  <c r="R148" i="1" s="1"/>
  <c r="S148" i="1" a="1"/>
  <c r="S148" i="1" s="1"/>
  <c r="R149" i="1" a="1"/>
  <c r="R149" i="1" s="1"/>
  <c r="S149" i="1" a="1"/>
  <c r="S149" i="1" s="1"/>
  <c r="R150" i="1" a="1"/>
  <c r="R150" i="1" s="1"/>
  <c r="S150" i="1" a="1"/>
  <c r="S150" i="1"/>
  <c r="R151" i="1" a="1"/>
  <c r="R151" i="1" s="1"/>
  <c r="S151" i="1" a="1"/>
  <c r="S151" i="1"/>
  <c r="R152" i="1" a="1"/>
  <c r="R152" i="1" s="1"/>
  <c r="S152" i="1" a="1"/>
  <c r="S152" i="1"/>
  <c r="R153" i="1" a="1"/>
  <c r="R153" i="1" s="1"/>
  <c r="S153" i="1" a="1"/>
  <c r="S153" i="1"/>
  <c r="R154" i="1" a="1"/>
  <c r="R154" i="1" s="1"/>
  <c r="S154" i="1" a="1"/>
  <c r="S154" i="1" s="1"/>
  <c r="R155" i="1" a="1"/>
  <c r="R155" i="1"/>
  <c r="S155" i="1" a="1"/>
  <c r="S155" i="1" s="1"/>
  <c r="R156" i="1" a="1"/>
  <c r="R156" i="1" s="1"/>
  <c r="S156" i="1" a="1"/>
  <c r="S156" i="1" s="1"/>
  <c r="R157" i="1" a="1"/>
  <c r="R157" i="1" s="1"/>
  <c r="S157" i="1" a="1"/>
  <c r="S157" i="1" s="1"/>
  <c r="R158" i="1" a="1"/>
  <c r="R158" i="1" s="1"/>
  <c r="S158" i="1" a="1"/>
  <c r="S158" i="1" s="1"/>
  <c r="R159" i="1" a="1"/>
  <c r="R159" i="1"/>
  <c r="S159" i="1" a="1"/>
  <c r="S159" i="1" s="1"/>
  <c r="R160" i="1" a="1"/>
  <c r="R160" i="1" s="1"/>
  <c r="S160" i="1" a="1"/>
  <c r="S160" i="1" s="1"/>
  <c r="R161" i="1" a="1"/>
  <c r="R161" i="1" s="1"/>
  <c r="S161" i="1" a="1"/>
  <c r="S161" i="1" s="1"/>
  <c r="R162" i="1" a="1"/>
  <c r="R162" i="1" s="1"/>
  <c r="S162" i="1" a="1"/>
  <c r="S162" i="1" s="1"/>
  <c r="R163" i="1" a="1"/>
  <c r="R163" i="1"/>
  <c r="S163" i="1" a="1"/>
  <c r="S163" i="1" s="1"/>
  <c r="R164" i="1" a="1"/>
  <c r="R164" i="1" s="1"/>
  <c r="S164" i="1" a="1"/>
  <c r="S164" i="1" s="1"/>
  <c r="R165" i="1" a="1"/>
  <c r="R165" i="1" s="1"/>
  <c r="S165" i="1" a="1"/>
  <c r="S165" i="1" s="1"/>
  <c r="R166" i="1" a="1"/>
  <c r="R166" i="1"/>
  <c r="S166" i="1" a="1"/>
  <c r="S166" i="1" s="1"/>
  <c r="R167" i="1" a="1"/>
  <c r="R167" i="1"/>
  <c r="S167" i="1" a="1"/>
  <c r="S167" i="1" s="1"/>
  <c r="R168" i="1" a="1"/>
  <c r="R168" i="1" s="1"/>
  <c r="S168" i="1" a="1"/>
  <c r="S168" i="1" s="1"/>
  <c r="R169" i="1" a="1"/>
  <c r="R169" i="1" s="1"/>
  <c r="S169" i="1" a="1"/>
  <c r="S169" i="1" s="1"/>
  <c r="R170" i="1" a="1"/>
  <c r="R170" i="1"/>
  <c r="S170" i="1" a="1"/>
  <c r="S170" i="1" s="1"/>
  <c r="R171" i="1" a="1"/>
  <c r="R171" i="1"/>
  <c r="S171" i="1" a="1"/>
  <c r="S171" i="1" s="1"/>
  <c r="R172" i="1" a="1"/>
  <c r="R172" i="1" s="1"/>
  <c r="S172" i="1" a="1"/>
  <c r="S172" i="1" s="1"/>
  <c r="R173" i="1" a="1"/>
  <c r="R173" i="1" s="1"/>
  <c r="S173" i="1" a="1"/>
  <c r="S173" i="1" s="1"/>
  <c r="R174" i="1" a="1"/>
  <c r="R174" i="1"/>
  <c r="S174" i="1" a="1"/>
  <c r="S174" i="1" s="1"/>
  <c r="R175" i="1" a="1"/>
  <c r="R175" i="1"/>
  <c r="S175" i="1" a="1"/>
  <c r="S175" i="1" s="1"/>
  <c r="R176" i="1" a="1"/>
  <c r="R176" i="1" s="1"/>
  <c r="S176" i="1" a="1"/>
  <c r="S176" i="1" s="1"/>
  <c r="R177" i="1" a="1"/>
  <c r="R177" i="1" s="1"/>
  <c r="S177" i="1" a="1"/>
  <c r="S177" i="1" s="1"/>
  <c r="R178" i="1" a="1"/>
  <c r="R178" i="1"/>
  <c r="S178" i="1" a="1"/>
  <c r="S178" i="1" s="1"/>
  <c r="R179" i="1" a="1"/>
  <c r="R179" i="1"/>
  <c r="S179" i="1" a="1"/>
  <c r="S179" i="1" s="1"/>
  <c r="R180" i="1" a="1"/>
  <c r="R180" i="1" s="1"/>
  <c r="S180" i="1" a="1"/>
  <c r="S180" i="1" s="1"/>
  <c r="R181" i="1" a="1"/>
  <c r="R181" i="1" s="1"/>
  <c r="S181" i="1" a="1"/>
  <c r="S181" i="1" s="1"/>
  <c r="R182" i="1" a="1"/>
  <c r="R182" i="1"/>
  <c r="S182" i="1" a="1"/>
  <c r="S182" i="1" s="1"/>
  <c r="R183" i="1" a="1"/>
  <c r="R183" i="1"/>
  <c r="S183" i="1" a="1"/>
  <c r="S183" i="1" s="1"/>
  <c r="R184" i="1" a="1"/>
  <c r="R184" i="1" s="1"/>
  <c r="S184" i="1" a="1"/>
  <c r="S184" i="1" s="1"/>
  <c r="R185" i="1" a="1"/>
  <c r="R185" i="1" s="1"/>
  <c r="S185" i="1" a="1"/>
  <c r="S185" i="1" s="1"/>
  <c r="R186" i="1" a="1"/>
  <c r="R186" i="1"/>
  <c r="S186" i="1" a="1"/>
  <c r="S186" i="1" s="1"/>
  <c r="R187" i="1" a="1"/>
  <c r="R187" i="1"/>
  <c r="S187" i="1" a="1"/>
  <c r="S187" i="1" s="1"/>
  <c r="R188" i="1" a="1"/>
  <c r="R188" i="1" s="1"/>
  <c r="S188" i="1" a="1"/>
  <c r="S188" i="1" s="1"/>
  <c r="R189" i="1" a="1"/>
  <c r="R189" i="1" s="1"/>
  <c r="S189" i="1" a="1"/>
  <c r="S189" i="1" s="1"/>
  <c r="R190" i="1" a="1"/>
  <c r="R190" i="1"/>
  <c r="S190" i="1" a="1"/>
  <c r="S190" i="1" s="1"/>
  <c r="R191" i="1" a="1"/>
  <c r="R191" i="1"/>
  <c r="S191" i="1" a="1"/>
  <c r="S191" i="1" s="1"/>
  <c r="R192" i="1" a="1"/>
  <c r="R192" i="1" s="1"/>
  <c r="S192" i="1" a="1"/>
  <c r="S192" i="1" s="1"/>
  <c r="R193" i="1" a="1"/>
  <c r="R193" i="1" s="1"/>
  <c r="S193" i="1" a="1"/>
  <c r="S193" i="1" s="1"/>
  <c r="R194" i="1" a="1"/>
  <c r="R194" i="1"/>
  <c r="S194" i="1" a="1"/>
  <c r="S194" i="1" s="1"/>
  <c r="R195" i="1" a="1"/>
  <c r="R195" i="1"/>
  <c r="S195" i="1" a="1"/>
  <c r="S195" i="1" s="1"/>
  <c r="R196" i="1" a="1"/>
  <c r="R196" i="1" s="1"/>
  <c r="S196" i="1" a="1"/>
  <c r="S196" i="1" s="1"/>
  <c r="R197" i="1" a="1"/>
  <c r="R197" i="1" s="1"/>
  <c r="S197" i="1" a="1"/>
  <c r="S197" i="1" s="1"/>
  <c r="R198" i="1" a="1"/>
  <c r="R198" i="1"/>
  <c r="S198" i="1" a="1"/>
  <c r="S198" i="1" s="1"/>
  <c r="R199" i="1" a="1"/>
  <c r="R199" i="1"/>
  <c r="S199" i="1" a="1"/>
  <c r="S199" i="1" s="1"/>
  <c r="R200" i="1" a="1"/>
  <c r="R200" i="1" s="1"/>
  <c r="S200" i="1" a="1"/>
  <c r="S200" i="1" s="1"/>
  <c r="R201" i="1" a="1"/>
  <c r="R201" i="1" s="1"/>
  <c r="S201" i="1" a="1"/>
  <c r="S201" i="1" s="1"/>
  <c r="R202" i="1" a="1"/>
  <c r="R202" i="1"/>
  <c r="S202" i="1" a="1"/>
  <c r="S202" i="1" s="1"/>
  <c r="R203" i="1" a="1"/>
  <c r="R203" i="1"/>
  <c r="S203" i="1" a="1"/>
  <c r="S203" i="1" s="1"/>
  <c r="R204" i="1" a="1"/>
  <c r="R204" i="1" s="1"/>
  <c r="S204" i="1" a="1"/>
  <c r="S204" i="1" s="1"/>
  <c r="R205" i="1" a="1"/>
  <c r="R205" i="1" s="1"/>
  <c r="S205" i="1" a="1"/>
  <c r="S205" i="1" s="1"/>
  <c r="R206" i="1" a="1"/>
  <c r="R206" i="1"/>
  <c r="S206" i="1" a="1"/>
  <c r="S206" i="1" s="1"/>
  <c r="R207" i="1" a="1"/>
  <c r="R207" i="1"/>
  <c r="S207" i="1" a="1"/>
  <c r="S207" i="1" s="1"/>
  <c r="R208" i="1" a="1"/>
  <c r="R208" i="1" s="1"/>
  <c r="S208" i="1" a="1"/>
  <c r="S208" i="1" s="1"/>
  <c r="R209" i="1" a="1"/>
  <c r="R209" i="1" s="1"/>
  <c r="S209" i="1" a="1"/>
  <c r="S209" i="1" s="1"/>
  <c r="R210" i="1" a="1"/>
  <c r="R210" i="1"/>
  <c r="S210" i="1" a="1"/>
  <c r="S210" i="1" s="1"/>
  <c r="R211" i="1" a="1"/>
  <c r="R211" i="1"/>
  <c r="S211" i="1" a="1"/>
  <c r="S211" i="1" s="1"/>
  <c r="R212" i="1" a="1"/>
  <c r="R212" i="1" s="1"/>
  <c r="S212" i="1" a="1"/>
  <c r="S212" i="1" s="1"/>
  <c r="R213" i="1" a="1"/>
  <c r="R213" i="1" s="1"/>
  <c r="S213" i="1" a="1"/>
  <c r="S213" i="1" s="1"/>
  <c r="R214" i="1" a="1"/>
  <c r="R214" i="1"/>
  <c r="S214" i="1" a="1"/>
  <c r="S214" i="1" s="1"/>
  <c r="R215" i="1" a="1"/>
  <c r="R215" i="1"/>
  <c r="S215" i="1" a="1"/>
  <c r="S215" i="1" s="1"/>
  <c r="R216" i="1" a="1"/>
  <c r="R216" i="1" s="1"/>
  <c r="S216" i="1" a="1"/>
  <c r="S216" i="1" s="1"/>
  <c r="R217" i="1" a="1"/>
  <c r="R217" i="1" s="1"/>
  <c r="S217" i="1" a="1"/>
  <c r="S217" i="1" s="1"/>
  <c r="R218" i="1" a="1"/>
  <c r="R218" i="1" s="1"/>
  <c r="S218" i="1" a="1"/>
  <c r="S218" i="1" s="1"/>
  <c r="R219" i="1" a="1"/>
  <c r="R219" i="1"/>
  <c r="S219" i="1" a="1"/>
  <c r="S219" i="1" s="1"/>
  <c r="R220" i="1" a="1"/>
  <c r="R220" i="1" s="1"/>
  <c r="S220" i="1" a="1"/>
  <c r="S220" i="1" s="1"/>
  <c r="R221" i="1" a="1"/>
  <c r="R221" i="1" s="1"/>
  <c r="S221" i="1" a="1"/>
  <c r="S221" i="1" s="1"/>
  <c r="R222" i="1" a="1"/>
  <c r="R222" i="1" s="1"/>
  <c r="S222" i="1" a="1"/>
  <c r="S222" i="1" s="1"/>
  <c r="R223" i="1" a="1"/>
  <c r="R223" i="1"/>
  <c r="S223" i="1" a="1"/>
  <c r="S223" i="1" s="1"/>
  <c r="R224" i="1" a="1"/>
  <c r="R224" i="1" s="1"/>
  <c r="S224" i="1" a="1"/>
  <c r="S224" i="1" s="1"/>
  <c r="R225" i="1" a="1"/>
  <c r="R225" i="1" s="1"/>
  <c r="S225" i="1" a="1"/>
  <c r="S225" i="1" s="1"/>
  <c r="R226" i="1" a="1"/>
  <c r="R226" i="1" s="1"/>
  <c r="S226" i="1" a="1"/>
  <c r="S226" i="1" s="1"/>
  <c r="R227" i="1" a="1"/>
  <c r="R227" i="1"/>
  <c r="S227" i="1" a="1"/>
  <c r="S227" i="1" s="1"/>
  <c r="R228" i="1" a="1"/>
  <c r="R228" i="1" s="1"/>
  <c r="S228" i="1" a="1"/>
  <c r="S228" i="1" s="1"/>
  <c r="R229" i="1" a="1"/>
  <c r="R229" i="1" s="1"/>
  <c r="S229" i="1" a="1"/>
  <c r="S229" i="1" s="1"/>
  <c r="R230" i="1" a="1"/>
  <c r="R230" i="1" s="1"/>
  <c r="S230" i="1" a="1"/>
  <c r="S230" i="1" s="1"/>
  <c r="R231" i="1" a="1"/>
  <c r="R231" i="1"/>
  <c r="S231" i="1" a="1"/>
  <c r="S231" i="1" s="1"/>
  <c r="R232" i="1" a="1"/>
  <c r="R232" i="1" s="1"/>
  <c r="S232" i="1" a="1"/>
  <c r="S232" i="1" s="1"/>
  <c r="R233" i="1" a="1"/>
  <c r="R233" i="1" s="1"/>
  <c r="S233" i="1" a="1"/>
  <c r="S233" i="1"/>
  <c r="R234" i="1" a="1"/>
  <c r="R234" i="1" s="1"/>
  <c r="S234" i="1" a="1"/>
  <c r="S234" i="1"/>
  <c r="R235" i="1" a="1"/>
  <c r="R235" i="1" s="1"/>
  <c r="S235" i="1" a="1"/>
  <c r="S235" i="1"/>
  <c r="R236" i="1" a="1"/>
  <c r="R236" i="1" s="1"/>
  <c r="S236" i="1" a="1"/>
  <c r="S236" i="1"/>
  <c r="R237" i="1" a="1"/>
  <c r="R237" i="1" s="1"/>
  <c r="S237" i="1" a="1"/>
  <c r="S237" i="1"/>
  <c r="R238" i="1" a="1"/>
  <c r="R238" i="1" s="1"/>
  <c r="S238" i="1" a="1"/>
  <c r="S238" i="1"/>
  <c r="R239" i="1" a="1"/>
  <c r="R239" i="1" s="1"/>
  <c r="S239" i="1" a="1"/>
  <c r="S239" i="1"/>
  <c r="R240" i="1" a="1"/>
  <c r="R240" i="1" s="1"/>
  <c r="S240" i="1" a="1"/>
  <c r="S240" i="1" s="1"/>
  <c r="R241" i="1" a="1"/>
  <c r="R241" i="1" s="1"/>
  <c r="S241" i="1" a="1"/>
  <c r="S241" i="1"/>
  <c r="R242" i="1" a="1"/>
  <c r="R242" i="1" s="1"/>
  <c r="S242" i="1" a="1"/>
  <c r="S242" i="1" s="1"/>
  <c r="R243" i="1" a="1"/>
  <c r="R243" i="1" s="1"/>
  <c r="S243" i="1" a="1"/>
  <c r="S243" i="1"/>
  <c r="R244" i="1" a="1"/>
  <c r="R244" i="1" s="1"/>
  <c r="S244" i="1" a="1"/>
  <c r="S244" i="1" s="1"/>
  <c r="R245" i="1" a="1"/>
  <c r="R245" i="1" s="1"/>
  <c r="S245" i="1" a="1"/>
  <c r="S245" i="1"/>
  <c r="R246" i="1" a="1"/>
  <c r="R246" i="1" s="1"/>
  <c r="S246" i="1" a="1"/>
  <c r="S246" i="1" s="1"/>
  <c r="R247" i="1" a="1"/>
  <c r="R247" i="1" s="1"/>
  <c r="S247" i="1" a="1"/>
  <c r="S247" i="1"/>
  <c r="R248" i="1" a="1"/>
  <c r="R248" i="1" s="1"/>
  <c r="S248" i="1" a="1"/>
  <c r="S248" i="1" s="1"/>
  <c r="R249" i="1" a="1"/>
  <c r="R249" i="1" s="1"/>
  <c r="S249" i="1" a="1"/>
  <c r="S249" i="1"/>
  <c r="R250" i="1" a="1"/>
  <c r="R250" i="1" s="1"/>
  <c r="S250" i="1" a="1"/>
  <c r="S250" i="1" s="1"/>
  <c r="R251" i="1" a="1"/>
  <c r="R251" i="1" s="1"/>
  <c r="S251" i="1" a="1"/>
  <c r="S251" i="1"/>
  <c r="R252" i="1" a="1"/>
  <c r="R252" i="1" s="1"/>
  <c r="S252" i="1" a="1"/>
  <c r="S252" i="1" s="1"/>
  <c r="R253" i="1" a="1"/>
  <c r="R253" i="1" s="1"/>
  <c r="S253" i="1" a="1"/>
  <c r="S253" i="1"/>
  <c r="R254" i="1" a="1"/>
  <c r="R254" i="1" s="1"/>
  <c r="S254" i="1" a="1"/>
  <c r="S254" i="1" s="1"/>
  <c r="R255" i="1" a="1"/>
  <c r="R255" i="1" s="1"/>
  <c r="S255" i="1" a="1"/>
  <c r="S255" i="1"/>
  <c r="R256" i="1" a="1"/>
  <c r="R256" i="1" s="1"/>
  <c r="S256" i="1" a="1"/>
  <c r="S256" i="1" s="1"/>
  <c r="R257" i="1" a="1"/>
  <c r="R257" i="1" s="1"/>
  <c r="S257" i="1" a="1"/>
  <c r="S257" i="1"/>
  <c r="R258" i="1" a="1"/>
  <c r="R258" i="1" s="1"/>
  <c r="S258" i="1" a="1"/>
  <c r="S258" i="1" s="1"/>
  <c r="R259" i="1" a="1"/>
  <c r="R259" i="1" s="1"/>
  <c r="S259" i="1" a="1"/>
  <c r="S259" i="1"/>
  <c r="R260" i="1" a="1"/>
  <c r="R260" i="1" s="1"/>
  <c r="S260" i="1" a="1"/>
  <c r="S260" i="1" s="1"/>
  <c r="R261" i="1" a="1"/>
  <c r="R261" i="1" s="1"/>
  <c r="S261" i="1" a="1"/>
  <c r="S261" i="1"/>
  <c r="R262" i="1" a="1"/>
  <c r="R262" i="1" s="1"/>
  <c r="S262" i="1" a="1"/>
  <c r="S262" i="1" s="1"/>
  <c r="R263" i="1" a="1"/>
  <c r="R263" i="1" s="1"/>
  <c r="S263" i="1" a="1"/>
  <c r="S263" i="1"/>
  <c r="R264" i="1" a="1"/>
  <c r="R264" i="1" s="1"/>
  <c r="S264" i="1" a="1"/>
  <c r="S264" i="1" s="1"/>
  <c r="R265" i="1" a="1"/>
  <c r="R265" i="1" s="1"/>
  <c r="S265" i="1" a="1"/>
  <c r="S265" i="1"/>
  <c r="R266" i="1" a="1"/>
  <c r="R266" i="1" s="1"/>
  <c r="S266" i="1" a="1"/>
  <c r="S266" i="1" s="1"/>
  <c r="R267" i="1" a="1"/>
  <c r="R267" i="1" s="1"/>
  <c r="S267" i="1" a="1"/>
  <c r="S267" i="1"/>
  <c r="R268" i="1" a="1"/>
  <c r="R268" i="1" s="1"/>
  <c r="S268" i="1" a="1"/>
  <c r="S268" i="1" s="1"/>
  <c r="R269" i="1" a="1"/>
  <c r="R269" i="1" s="1"/>
  <c r="S269" i="1" a="1"/>
  <c r="S269" i="1"/>
  <c r="R270" i="1" a="1"/>
  <c r="R270" i="1" s="1"/>
  <c r="S270" i="1" a="1"/>
  <c r="S270" i="1" s="1"/>
  <c r="R271" i="1" a="1"/>
  <c r="R271" i="1" s="1"/>
  <c r="S271" i="1" a="1"/>
  <c r="S271" i="1"/>
  <c r="R272" i="1" a="1"/>
  <c r="R272" i="1" s="1"/>
  <c r="S272" i="1" a="1"/>
  <c r="S272" i="1" s="1"/>
  <c r="R273" i="1" a="1"/>
  <c r="R273" i="1" s="1"/>
  <c r="S273" i="1" a="1"/>
  <c r="S273" i="1"/>
  <c r="R274" i="1" a="1"/>
  <c r="R274" i="1" s="1"/>
  <c r="S274" i="1" a="1"/>
  <c r="S274" i="1" s="1"/>
  <c r="R275" i="1" a="1"/>
  <c r="R275" i="1" s="1"/>
  <c r="S275" i="1" a="1"/>
  <c r="S275" i="1"/>
  <c r="R276" i="1" a="1"/>
  <c r="R276" i="1" s="1"/>
  <c r="S276" i="1" a="1"/>
  <c r="S276" i="1" s="1"/>
  <c r="R277" i="1" a="1"/>
  <c r="R277" i="1" s="1"/>
  <c r="S277" i="1" a="1"/>
  <c r="S277" i="1"/>
  <c r="R278" i="1" a="1"/>
  <c r="R278" i="1" s="1"/>
  <c r="S278" i="1" a="1"/>
  <c r="S278" i="1" s="1"/>
  <c r="R279" i="1" a="1"/>
  <c r="R279" i="1" s="1"/>
  <c r="S279" i="1" a="1"/>
  <c r="S279" i="1"/>
  <c r="R280" i="1" a="1"/>
  <c r="R280" i="1" s="1"/>
  <c r="S280" i="1" a="1"/>
  <c r="S280" i="1" s="1"/>
  <c r="R281" i="1" a="1"/>
  <c r="R281" i="1" s="1"/>
  <c r="S281" i="1" a="1"/>
  <c r="S281" i="1"/>
  <c r="R282" i="1" a="1"/>
  <c r="R282" i="1" s="1"/>
  <c r="S282" i="1" a="1"/>
  <c r="S282" i="1" s="1"/>
  <c r="R283" i="1" a="1"/>
  <c r="R283" i="1" s="1"/>
  <c r="S283" i="1" a="1"/>
  <c r="S283" i="1"/>
  <c r="R284" i="1" a="1"/>
  <c r="R284" i="1" s="1"/>
  <c r="S284" i="1" a="1"/>
  <c r="S284" i="1" s="1"/>
  <c r="R285" i="1" a="1"/>
  <c r="R285" i="1" s="1"/>
  <c r="S285" i="1" a="1"/>
  <c r="S285" i="1"/>
  <c r="R286" i="1" a="1"/>
  <c r="R286" i="1" s="1"/>
  <c r="S286" i="1" a="1"/>
  <c r="S286" i="1" s="1"/>
  <c r="R287" i="1" a="1"/>
  <c r="R287" i="1" s="1"/>
  <c r="S287" i="1" a="1"/>
  <c r="S287" i="1"/>
  <c r="R288" i="1" a="1"/>
  <c r="R288" i="1" s="1"/>
  <c r="S288" i="1" a="1"/>
  <c r="S288" i="1" s="1"/>
  <c r="R289" i="1" a="1"/>
  <c r="R289" i="1" s="1"/>
  <c r="S289" i="1" a="1"/>
  <c r="S289" i="1"/>
  <c r="R290" i="1" a="1"/>
  <c r="R290" i="1" s="1"/>
  <c r="S290" i="1" a="1"/>
  <c r="S290" i="1" s="1"/>
  <c r="R291" i="1" a="1"/>
  <c r="R291" i="1" s="1"/>
  <c r="S291" i="1" a="1"/>
  <c r="S291" i="1"/>
  <c r="R292" i="1" a="1"/>
  <c r="R292" i="1" s="1"/>
  <c r="S292" i="1" a="1"/>
  <c r="S292" i="1" s="1"/>
  <c r="R293" i="1" a="1"/>
  <c r="R293" i="1" s="1"/>
  <c r="S293" i="1" a="1"/>
  <c r="S293" i="1"/>
  <c r="R294" i="1" a="1"/>
  <c r="R294" i="1" s="1"/>
  <c r="S294" i="1" a="1"/>
  <c r="S294" i="1" s="1"/>
  <c r="R295" i="1" a="1"/>
  <c r="R295" i="1" s="1"/>
  <c r="S295" i="1" a="1"/>
  <c r="S295" i="1"/>
  <c r="R296" i="1" a="1"/>
  <c r="R296" i="1" s="1"/>
  <c r="S296" i="1" a="1"/>
  <c r="S296" i="1" s="1"/>
  <c r="R297" i="1" a="1"/>
  <c r="R297" i="1" s="1"/>
  <c r="S297" i="1" a="1"/>
  <c r="S297" i="1"/>
  <c r="R298" i="1" a="1"/>
  <c r="R298" i="1" s="1"/>
  <c r="S298" i="1" a="1"/>
  <c r="S298" i="1" s="1"/>
  <c r="R299" i="1" a="1"/>
  <c r="R299" i="1" s="1"/>
  <c r="S299" i="1" a="1"/>
  <c r="S299" i="1"/>
  <c r="R300" i="1" a="1"/>
  <c r="R300" i="1" s="1"/>
  <c r="S300" i="1" a="1"/>
  <c r="S300" i="1" s="1"/>
  <c r="R301" i="1" a="1"/>
  <c r="R301" i="1" s="1"/>
  <c r="S301" i="1" a="1"/>
  <c r="S301" i="1"/>
  <c r="R302" i="1" a="1"/>
  <c r="R302" i="1" s="1"/>
  <c r="S302" i="1" a="1"/>
  <c r="S302" i="1" s="1"/>
  <c r="R303" i="1" a="1"/>
  <c r="R303" i="1" s="1"/>
  <c r="S303" i="1" a="1"/>
  <c r="S303" i="1"/>
  <c r="R304" i="1" a="1"/>
  <c r="R304" i="1" s="1"/>
  <c r="S304" i="1" a="1"/>
  <c r="S304" i="1" s="1"/>
  <c r="R305" i="1" a="1"/>
  <c r="R305" i="1" s="1"/>
  <c r="S305" i="1" a="1"/>
  <c r="S305" i="1"/>
  <c r="R306" i="1" a="1"/>
  <c r="R306" i="1" s="1"/>
  <c r="S306" i="1" a="1"/>
  <c r="S306" i="1" s="1"/>
  <c r="R307" i="1" a="1"/>
  <c r="R307" i="1" s="1"/>
  <c r="S307" i="1" a="1"/>
  <c r="S307" i="1"/>
  <c r="R308" i="1" a="1"/>
  <c r="R308" i="1" s="1"/>
  <c r="S308" i="1" a="1"/>
  <c r="S308" i="1" s="1"/>
  <c r="R309" i="1" a="1"/>
  <c r="R309" i="1" s="1"/>
  <c r="S309" i="1" a="1"/>
  <c r="S309" i="1"/>
  <c r="R310" i="1" a="1"/>
  <c r="R310" i="1" s="1"/>
  <c r="S310" i="1" a="1"/>
  <c r="S310" i="1" s="1"/>
  <c r="R311" i="1" a="1"/>
  <c r="R311" i="1" s="1"/>
  <c r="S311" i="1" a="1"/>
  <c r="S311" i="1"/>
  <c r="R312" i="1" a="1"/>
  <c r="R312" i="1" s="1"/>
  <c r="S312" i="1" a="1"/>
  <c r="S312" i="1" s="1"/>
  <c r="R313" i="1" a="1"/>
  <c r="R313" i="1" s="1"/>
  <c r="S313" i="1" a="1"/>
  <c r="S313" i="1"/>
  <c r="R314" i="1" a="1"/>
  <c r="R314" i="1" s="1"/>
  <c r="S314" i="1" a="1"/>
  <c r="S314" i="1" s="1"/>
  <c r="R315" i="1" a="1"/>
  <c r="R315" i="1" s="1"/>
  <c r="S315" i="1" a="1"/>
  <c r="S315" i="1"/>
  <c r="R316" i="1" a="1"/>
  <c r="R316" i="1" s="1"/>
  <c r="S316" i="1" a="1"/>
  <c r="S316" i="1" s="1"/>
  <c r="R317" i="1" a="1"/>
  <c r="R317" i="1" s="1"/>
  <c r="S317" i="1" a="1"/>
  <c r="S317" i="1"/>
  <c r="R318" i="1" a="1"/>
  <c r="R318" i="1" s="1"/>
  <c r="S318" i="1" a="1"/>
  <c r="S318" i="1" s="1"/>
  <c r="R319" i="1" a="1"/>
  <c r="R319" i="1" s="1"/>
  <c r="S319" i="1" a="1"/>
  <c r="S319" i="1"/>
  <c r="R320" i="1" a="1"/>
  <c r="R320" i="1" s="1"/>
  <c r="S320" i="1" a="1"/>
  <c r="S320" i="1" s="1"/>
  <c r="R321" i="1" a="1"/>
  <c r="R321" i="1" s="1"/>
  <c r="S321" i="1" a="1"/>
  <c r="S321" i="1"/>
  <c r="R322" i="1" a="1"/>
  <c r="R322" i="1" s="1"/>
  <c r="S322" i="1" a="1"/>
  <c r="S322" i="1" s="1"/>
  <c r="R323" i="1" a="1"/>
  <c r="R323" i="1" s="1"/>
  <c r="S323" i="1" a="1"/>
  <c r="S323" i="1"/>
  <c r="R324" i="1" a="1"/>
  <c r="R324" i="1" s="1"/>
  <c r="S324" i="1" a="1"/>
  <c r="S324" i="1" s="1"/>
  <c r="R325" i="1" a="1"/>
  <c r="R325" i="1" s="1"/>
  <c r="S325" i="1" a="1"/>
  <c r="S325" i="1"/>
  <c r="R326" i="1" a="1"/>
  <c r="R326" i="1" s="1"/>
  <c r="S326" i="1" a="1"/>
  <c r="S326" i="1" s="1"/>
  <c r="R327" i="1" a="1"/>
  <c r="R327" i="1" s="1"/>
  <c r="S327" i="1" a="1"/>
  <c r="S327" i="1"/>
  <c r="R328" i="1" a="1"/>
  <c r="R328" i="1" s="1"/>
  <c r="S328" i="1" a="1"/>
  <c r="S328" i="1" s="1"/>
  <c r="R329" i="1" a="1"/>
  <c r="R329" i="1" s="1"/>
  <c r="S329" i="1" a="1"/>
  <c r="S329" i="1"/>
  <c r="R330" i="1" a="1"/>
  <c r="R330" i="1" s="1"/>
  <c r="S330" i="1" a="1"/>
  <c r="S330" i="1" s="1"/>
  <c r="R331" i="1" a="1"/>
  <c r="R331" i="1" s="1"/>
  <c r="S331" i="1" a="1"/>
  <c r="S331" i="1"/>
  <c r="R332" i="1" a="1"/>
  <c r="R332" i="1" s="1"/>
  <c r="S332" i="1" a="1"/>
  <c r="S332" i="1" s="1"/>
  <c r="R333" i="1" a="1"/>
  <c r="R333" i="1" s="1"/>
  <c r="S333" i="1" a="1"/>
  <c r="S333" i="1"/>
  <c r="R334" i="1" a="1"/>
  <c r="R334" i="1" s="1"/>
  <c r="S334" i="1" a="1"/>
  <c r="S334" i="1" s="1"/>
  <c r="R335" i="1" a="1"/>
  <c r="R335" i="1" s="1"/>
  <c r="S335" i="1" a="1"/>
  <c r="S335" i="1"/>
  <c r="R336" i="1" a="1"/>
  <c r="R336" i="1" s="1"/>
  <c r="S336" i="1" a="1"/>
  <c r="S336" i="1" s="1"/>
  <c r="R337" i="1" a="1"/>
  <c r="R337" i="1" s="1"/>
  <c r="S337" i="1" a="1"/>
  <c r="S337" i="1"/>
  <c r="R338" i="1" a="1"/>
  <c r="R338" i="1" s="1"/>
  <c r="S338" i="1" a="1"/>
  <c r="S338" i="1" s="1"/>
  <c r="R339" i="1" a="1"/>
  <c r="R339" i="1" s="1"/>
  <c r="S339" i="1" a="1"/>
  <c r="S339" i="1"/>
  <c r="R340" i="1" a="1"/>
  <c r="R340" i="1" s="1"/>
  <c r="S340" i="1" a="1"/>
  <c r="S340" i="1" s="1"/>
  <c r="R341" i="1" a="1"/>
  <c r="R341" i="1" s="1"/>
  <c r="S341" i="1" a="1"/>
  <c r="S341" i="1"/>
  <c r="R342" i="1" a="1"/>
  <c r="R342" i="1" s="1"/>
  <c r="S342" i="1" a="1"/>
  <c r="S342" i="1" s="1"/>
  <c r="R343" i="1" a="1"/>
  <c r="R343" i="1" s="1"/>
  <c r="S343" i="1" a="1"/>
  <c r="S343" i="1"/>
  <c r="R344" i="1" a="1"/>
  <c r="R344" i="1" s="1"/>
  <c r="S344" i="1" a="1"/>
  <c r="S344" i="1" s="1"/>
  <c r="R345" i="1" a="1"/>
  <c r="R345" i="1" s="1"/>
  <c r="S345" i="1" a="1"/>
  <c r="S345" i="1"/>
  <c r="R346" i="1" a="1"/>
  <c r="R346" i="1" s="1"/>
  <c r="S346" i="1" a="1"/>
  <c r="S346" i="1" s="1"/>
  <c r="R347" i="1" a="1"/>
  <c r="R347" i="1" s="1"/>
  <c r="S347" i="1" a="1"/>
  <c r="S347" i="1"/>
  <c r="R348" i="1" a="1"/>
  <c r="R348" i="1" s="1"/>
  <c r="S348" i="1" a="1"/>
  <c r="S348" i="1" s="1"/>
  <c r="R349" i="1" a="1"/>
  <c r="R349" i="1" s="1"/>
  <c r="S349" i="1" a="1"/>
  <c r="S349" i="1"/>
  <c r="R350" i="1" a="1"/>
  <c r="R350" i="1" s="1"/>
  <c r="S350" i="1" a="1"/>
  <c r="S350" i="1" s="1"/>
  <c r="R351" i="1" a="1"/>
  <c r="R351" i="1" s="1"/>
  <c r="S351" i="1" a="1"/>
  <c r="S351" i="1"/>
  <c r="R352" i="1" a="1"/>
  <c r="R352" i="1" s="1"/>
  <c r="S352" i="1" a="1"/>
  <c r="S352" i="1" s="1"/>
  <c r="R353" i="1" a="1"/>
  <c r="R353" i="1" s="1"/>
  <c r="S353" i="1" a="1"/>
  <c r="S353" i="1"/>
  <c r="R354" i="1" a="1"/>
  <c r="R354" i="1" s="1"/>
  <c r="S354" i="1" a="1"/>
  <c r="S354" i="1" s="1"/>
  <c r="R355" i="1" a="1"/>
  <c r="R355" i="1" s="1"/>
  <c r="S355" i="1" a="1"/>
  <c r="S355" i="1"/>
  <c r="R356" i="1" a="1"/>
  <c r="R356" i="1" s="1"/>
  <c r="S356" i="1" a="1"/>
  <c r="S356" i="1" s="1"/>
  <c r="R357" i="1" a="1"/>
  <c r="R357" i="1" s="1"/>
  <c r="S357" i="1" a="1"/>
  <c r="S357" i="1"/>
  <c r="R358" i="1" a="1"/>
  <c r="R358" i="1" s="1"/>
  <c r="S358" i="1" a="1"/>
  <c r="S358" i="1" s="1"/>
  <c r="R359" i="1" a="1"/>
  <c r="R359" i="1" s="1"/>
  <c r="S359" i="1" a="1"/>
  <c r="S359" i="1"/>
  <c r="R360" i="1" a="1"/>
  <c r="R360" i="1" s="1"/>
  <c r="S360" i="1" a="1"/>
  <c r="S360" i="1" s="1"/>
  <c r="R361" i="1" a="1"/>
  <c r="R361" i="1" s="1"/>
  <c r="S361" i="1" a="1"/>
  <c r="S361" i="1"/>
  <c r="R362" i="1" a="1"/>
  <c r="R362" i="1" s="1"/>
  <c r="S362" i="1" a="1"/>
  <c r="S362" i="1" s="1"/>
  <c r="R363" i="1" a="1"/>
  <c r="R363" i="1" s="1"/>
  <c r="S363" i="1" a="1"/>
  <c r="S363" i="1"/>
  <c r="R364" i="1" a="1"/>
  <c r="R364" i="1" s="1"/>
  <c r="S364" i="1" a="1"/>
  <c r="S364" i="1" s="1"/>
  <c r="R365" i="1" a="1"/>
  <c r="R365" i="1" s="1"/>
  <c r="S365" i="1" a="1"/>
  <c r="S365" i="1"/>
  <c r="R366" i="1" a="1"/>
  <c r="R366" i="1" s="1"/>
  <c r="S366" i="1" a="1"/>
  <c r="S366" i="1" s="1"/>
  <c r="R367" i="1" a="1"/>
  <c r="R367" i="1" s="1"/>
  <c r="S367" i="1" a="1"/>
  <c r="S367" i="1"/>
  <c r="R368" i="1" a="1"/>
  <c r="R368" i="1" s="1"/>
  <c r="S368" i="1" a="1"/>
  <c r="S368" i="1" s="1"/>
  <c r="R369" i="1" a="1"/>
  <c r="R369" i="1" s="1"/>
  <c r="S369" i="1" a="1"/>
  <c r="S369" i="1"/>
  <c r="R370" i="1" a="1"/>
  <c r="R370" i="1" s="1"/>
  <c r="S370" i="1" a="1"/>
  <c r="S370" i="1" s="1"/>
  <c r="R371" i="1" a="1"/>
  <c r="R371" i="1" s="1"/>
  <c r="S371" i="1" a="1"/>
  <c r="S371" i="1"/>
  <c r="R372" i="1" a="1"/>
  <c r="R372" i="1" s="1"/>
  <c r="S372" i="1" a="1"/>
  <c r="S372" i="1" s="1"/>
  <c r="R373" i="1" a="1"/>
  <c r="R373" i="1" s="1"/>
  <c r="S373" i="1" a="1"/>
  <c r="S373" i="1"/>
  <c r="R374" i="1" a="1"/>
  <c r="R374" i="1" s="1"/>
  <c r="S374" i="1" a="1"/>
  <c r="S374" i="1" s="1"/>
  <c r="R375" i="1" a="1"/>
  <c r="R375" i="1" s="1"/>
  <c r="S375" i="1" a="1"/>
  <c r="S375" i="1"/>
  <c r="R376" i="1" a="1"/>
  <c r="R376" i="1" s="1"/>
  <c r="S376" i="1" a="1"/>
  <c r="S376" i="1" s="1"/>
  <c r="R377" i="1" a="1"/>
  <c r="R377" i="1" s="1"/>
  <c r="S377" i="1" a="1"/>
  <c r="S377" i="1"/>
  <c r="R378" i="1" a="1"/>
  <c r="R378" i="1" s="1"/>
  <c r="S378" i="1" a="1"/>
  <c r="S378" i="1" s="1"/>
  <c r="R379" i="1" a="1"/>
  <c r="R379" i="1" s="1"/>
  <c r="S379" i="1" a="1"/>
  <c r="S379" i="1"/>
  <c r="R380" i="1" a="1"/>
  <c r="R380" i="1" s="1"/>
  <c r="S380" i="1" a="1"/>
  <c r="S380" i="1" s="1"/>
  <c r="R381" i="1" a="1"/>
  <c r="R381" i="1" s="1"/>
  <c r="S381" i="1" a="1"/>
  <c r="S381" i="1"/>
  <c r="R382" i="1" a="1"/>
  <c r="R382" i="1" s="1"/>
  <c r="S382" i="1" a="1"/>
  <c r="S382" i="1" s="1"/>
  <c r="R383" i="1" a="1"/>
  <c r="R383" i="1" s="1"/>
  <c r="S383" i="1" a="1"/>
  <c r="S383" i="1"/>
  <c r="R384" i="1" a="1"/>
  <c r="R384" i="1"/>
  <c r="S384" i="1" a="1"/>
  <c r="S384" i="1"/>
  <c r="R385" i="1" a="1"/>
  <c r="R385" i="1"/>
  <c r="S385" i="1" a="1"/>
  <c r="S385" i="1"/>
  <c r="R386" i="1" a="1"/>
  <c r="R386" i="1"/>
  <c r="S386" i="1" a="1"/>
  <c r="S386" i="1"/>
  <c r="R387" i="1" a="1"/>
  <c r="R387" i="1"/>
  <c r="S387" i="1" a="1"/>
  <c r="S387" i="1"/>
  <c r="R388" i="1" a="1"/>
  <c r="R388" i="1"/>
  <c r="S388" i="1" a="1"/>
  <c r="S388" i="1"/>
  <c r="R389" i="1" a="1"/>
  <c r="R389" i="1"/>
  <c r="S389" i="1" a="1"/>
  <c r="S389" i="1"/>
  <c r="R390" i="1" a="1"/>
  <c r="R390" i="1" s="1"/>
  <c r="S390" i="1" a="1"/>
  <c r="S390" i="1" s="1"/>
  <c r="R391" i="1" a="1"/>
  <c r="R391" i="1" s="1"/>
  <c r="S391" i="1" a="1"/>
  <c r="S391" i="1" s="1"/>
  <c r="R392" i="1" a="1"/>
  <c r="R392" i="1" s="1"/>
  <c r="S392" i="1" a="1"/>
  <c r="S392" i="1"/>
  <c r="R393" i="1" a="1"/>
  <c r="R393" i="1" s="1"/>
  <c r="S393" i="1" a="1"/>
  <c r="S393" i="1"/>
  <c r="R394" i="1" a="1"/>
  <c r="R394" i="1" s="1"/>
  <c r="S394" i="1" a="1"/>
  <c r="S394" i="1" s="1"/>
  <c r="R395" i="1" a="1"/>
  <c r="R395" i="1" s="1"/>
  <c r="S395" i="1" a="1"/>
  <c r="S395" i="1" s="1"/>
  <c r="R396" i="1" a="1"/>
  <c r="R396" i="1" s="1"/>
  <c r="S396" i="1" a="1"/>
  <c r="S396" i="1"/>
  <c r="R397" i="1" a="1"/>
  <c r="R397" i="1" s="1"/>
  <c r="S397" i="1" a="1"/>
  <c r="S397" i="1"/>
  <c r="R398" i="1" a="1"/>
  <c r="R398" i="1" s="1"/>
  <c r="S398" i="1" a="1"/>
  <c r="S398" i="1" s="1"/>
  <c r="R399" i="1" a="1"/>
  <c r="R399" i="1" s="1"/>
  <c r="S399" i="1" a="1"/>
  <c r="S399" i="1" s="1"/>
  <c r="R400" i="1" a="1"/>
  <c r="R400" i="1" s="1"/>
  <c r="S400" i="1" a="1"/>
  <c r="S400" i="1" s="1"/>
  <c r="R401" i="1" a="1"/>
  <c r="R401" i="1" s="1"/>
  <c r="S401" i="1" a="1"/>
  <c r="S401" i="1"/>
  <c r="R402" i="1" a="1"/>
  <c r="R402" i="1" s="1"/>
  <c r="S402" i="1" a="1"/>
  <c r="S402" i="1" s="1"/>
  <c r="R403" i="1" a="1"/>
  <c r="R403" i="1" s="1"/>
  <c r="S403" i="1" a="1"/>
  <c r="S403" i="1" s="1"/>
  <c r="R404" i="1" a="1"/>
  <c r="R404" i="1" s="1"/>
  <c r="S404" i="1" a="1"/>
  <c r="S404" i="1" s="1"/>
  <c r="R405" i="1" a="1"/>
  <c r="R405" i="1" s="1"/>
  <c r="S405" i="1" a="1"/>
  <c r="S405" i="1" s="1"/>
  <c r="R406" i="1" a="1"/>
  <c r="R406" i="1" s="1"/>
  <c r="S406" i="1" a="1"/>
  <c r="S406" i="1" s="1"/>
  <c r="R407" i="1" a="1"/>
  <c r="R407" i="1" s="1"/>
  <c r="S407" i="1" a="1"/>
  <c r="S407" i="1" s="1"/>
  <c r="R408" i="1" a="1"/>
  <c r="R408" i="1" s="1"/>
  <c r="S408" i="1" a="1"/>
  <c r="S408" i="1" s="1"/>
  <c r="R409" i="1" a="1"/>
  <c r="R409" i="1" s="1"/>
  <c r="S409" i="1" a="1"/>
  <c r="S409" i="1" s="1"/>
  <c r="R410" i="1" a="1"/>
  <c r="R410" i="1" s="1"/>
  <c r="S410" i="1" a="1"/>
  <c r="S410" i="1" s="1"/>
  <c r="R411" i="1" a="1"/>
  <c r="R411" i="1" s="1"/>
  <c r="S411" i="1" a="1"/>
  <c r="S411" i="1" s="1"/>
  <c r="R412" i="1" a="1"/>
  <c r="R412" i="1" s="1"/>
  <c r="S412" i="1" a="1"/>
  <c r="S412" i="1" s="1"/>
  <c r="R413" i="1" a="1"/>
  <c r="R413" i="1" s="1"/>
  <c r="S413" i="1" a="1"/>
  <c r="S413" i="1"/>
  <c r="R414" i="1" a="1"/>
  <c r="R414" i="1" s="1"/>
  <c r="S414" i="1" a="1"/>
  <c r="S414" i="1" s="1"/>
  <c r="R415" i="1" a="1"/>
  <c r="R415" i="1" s="1"/>
  <c r="S415" i="1" a="1"/>
  <c r="S415" i="1" s="1"/>
  <c r="R416" i="1" a="1"/>
  <c r="R416" i="1" s="1"/>
  <c r="S416" i="1" a="1"/>
  <c r="S416" i="1" s="1"/>
  <c r="R417" i="1" a="1"/>
  <c r="R417" i="1" s="1"/>
  <c r="S417" i="1" a="1"/>
  <c r="S417" i="1" s="1"/>
  <c r="R418" i="1" a="1"/>
  <c r="R418" i="1" s="1"/>
  <c r="S418" i="1" a="1"/>
  <c r="S418" i="1" s="1"/>
  <c r="R419" i="1" a="1"/>
  <c r="R419" i="1" s="1"/>
  <c r="S419" i="1" a="1"/>
  <c r="S419" i="1" s="1"/>
  <c r="R420" i="1" a="1"/>
  <c r="R420" i="1" s="1"/>
  <c r="S420" i="1" a="1"/>
  <c r="S420" i="1" s="1"/>
  <c r="R421" i="1" a="1"/>
  <c r="R421" i="1" s="1"/>
  <c r="S421" i="1" a="1"/>
  <c r="S421" i="1"/>
  <c r="R422" i="1" a="1"/>
  <c r="R422" i="1" s="1"/>
  <c r="S422" i="1" a="1"/>
  <c r="S422" i="1" s="1"/>
  <c r="R423" i="1" a="1"/>
  <c r="R423" i="1" s="1"/>
  <c r="S423" i="1" a="1"/>
  <c r="S423" i="1" s="1"/>
  <c r="R424" i="1" a="1"/>
  <c r="R424" i="1" s="1"/>
  <c r="S424" i="1" a="1"/>
  <c r="S424" i="1" s="1"/>
  <c r="R425" i="1" a="1"/>
  <c r="R425" i="1" s="1"/>
  <c r="S425" i="1" a="1"/>
  <c r="S425" i="1"/>
  <c r="R426" i="1" a="1"/>
  <c r="R426" i="1" s="1"/>
  <c r="S426" i="1" a="1"/>
  <c r="S426" i="1" s="1"/>
  <c r="R427" i="1" a="1"/>
  <c r="R427" i="1" s="1"/>
  <c r="S427" i="1" a="1"/>
  <c r="S427" i="1" s="1"/>
  <c r="R428" i="1" a="1"/>
  <c r="R428" i="1" s="1"/>
  <c r="S428" i="1" a="1"/>
  <c r="S428" i="1"/>
  <c r="R429" i="1" a="1"/>
  <c r="R429" i="1" s="1"/>
  <c r="S429" i="1" a="1"/>
  <c r="S429" i="1"/>
  <c r="R430" i="1" a="1"/>
  <c r="R430" i="1" s="1"/>
  <c r="S430" i="1" a="1"/>
  <c r="S430" i="1" s="1"/>
  <c r="R431" i="1" a="1"/>
  <c r="R431" i="1" s="1"/>
  <c r="S431" i="1" a="1"/>
  <c r="S431" i="1" s="1"/>
  <c r="R432" i="1" a="1"/>
  <c r="R432" i="1" s="1"/>
  <c r="S432" i="1" a="1"/>
  <c r="S432" i="1"/>
  <c r="R433" i="1" a="1"/>
  <c r="R433" i="1" s="1"/>
  <c r="S433" i="1" a="1"/>
  <c r="S433" i="1" s="1"/>
  <c r="R434" i="1" a="1"/>
  <c r="R434" i="1" s="1"/>
  <c r="S434" i="1" a="1"/>
  <c r="S434" i="1" s="1"/>
  <c r="R435" i="1" a="1"/>
  <c r="R435" i="1" s="1"/>
  <c r="S435" i="1" a="1"/>
  <c r="S435" i="1" s="1"/>
  <c r="R436" i="1" a="1"/>
  <c r="R436" i="1" s="1"/>
  <c r="S436" i="1" a="1"/>
  <c r="S436" i="1"/>
  <c r="R437" i="1" a="1"/>
  <c r="R437" i="1" s="1"/>
  <c r="S437" i="1" a="1"/>
  <c r="S437" i="1" s="1"/>
  <c r="R438" i="1" a="1"/>
  <c r="R438" i="1" s="1"/>
  <c r="S438" i="1" a="1"/>
  <c r="S438" i="1" s="1"/>
  <c r="R439" i="1" a="1"/>
  <c r="R439" i="1" s="1"/>
  <c r="S439" i="1" a="1"/>
  <c r="S439" i="1" s="1"/>
  <c r="R440" i="1" a="1"/>
  <c r="R440" i="1" s="1"/>
  <c r="S440" i="1" a="1"/>
  <c r="S440" i="1"/>
  <c r="R441" i="1" a="1"/>
  <c r="R441" i="1" s="1"/>
  <c r="S441" i="1" a="1"/>
  <c r="S441" i="1"/>
  <c r="R442" i="1" a="1"/>
  <c r="R442" i="1" s="1"/>
  <c r="S442" i="1" a="1"/>
  <c r="S442" i="1" s="1"/>
  <c r="R443" i="1" a="1"/>
  <c r="R443" i="1" s="1"/>
  <c r="S443" i="1" a="1"/>
  <c r="S443" i="1" s="1"/>
  <c r="R444" i="1" a="1"/>
  <c r="R444" i="1" s="1"/>
  <c r="S444" i="1" a="1"/>
  <c r="S444" i="1"/>
  <c r="R445" i="1" a="1"/>
  <c r="R445" i="1" s="1"/>
  <c r="S445" i="1" a="1"/>
  <c r="S445" i="1"/>
  <c r="R446" i="1" a="1"/>
  <c r="R446" i="1" s="1"/>
  <c r="S446" i="1" a="1"/>
  <c r="S446" i="1" s="1"/>
  <c r="R447" i="1" a="1"/>
  <c r="R447" i="1" s="1"/>
  <c r="S447" i="1" a="1"/>
  <c r="S447" i="1" s="1"/>
  <c r="R448" i="1" a="1"/>
  <c r="R448" i="1" s="1"/>
  <c r="S448" i="1" a="1"/>
  <c r="S448" i="1"/>
  <c r="R449" i="1" a="1"/>
  <c r="R449" i="1" s="1"/>
  <c r="S449" i="1" a="1"/>
  <c r="S449" i="1"/>
  <c r="R450" i="1" a="1"/>
  <c r="R450" i="1" s="1"/>
  <c r="S450" i="1" a="1"/>
  <c r="S450" i="1" s="1"/>
  <c r="R451" i="1" a="1"/>
  <c r="R451" i="1" s="1"/>
  <c r="S451" i="1" a="1"/>
  <c r="S451" i="1" s="1"/>
  <c r="R452" i="1" a="1"/>
  <c r="R452" i="1" s="1"/>
  <c r="S452" i="1" a="1"/>
  <c r="S452" i="1"/>
  <c r="R453" i="1" a="1"/>
  <c r="R453" i="1" s="1"/>
  <c r="S453" i="1" a="1"/>
  <c r="S453" i="1"/>
  <c r="R454" i="1" a="1"/>
  <c r="R454" i="1" s="1"/>
  <c r="S454" i="1" a="1"/>
  <c r="S454" i="1" s="1"/>
  <c r="R455" i="1" a="1"/>
  <c r="R455" i="1" s="1"/>
  <c r="S455" i="1" a="1"/>
  <c r="S455" i="1" s="1"/>
  <c r="R456" i="1" a="1"/>
  <c r="R456" i="1" s="1"/>
  <c r="S456" i="1" a="1"/>
  <c r="S456" i="1"/>
  <c r="R457" i="1" a="1"/>
  <c r="R457" i="1" s="1"/>
  <c r="S457" i="1" a="1"/>
  <c r="S457" i="1"/>
  <c r="R458" i="1" a="1"/>
  <c r="R458" i="1" s="1"/>
  <c r="S458" i="1" a="1"/>
  <c r="S458" i="1" s="1"/>
  <c r="R459" i="1" a="1"/>
  <c r="R459" i="1" s="1"/>
  <c r="S459" i="1" a="1"/>
  <c r="S459" i="1" s="1"/>
  <c r="R460" i="1" a="1"/>
  <c r="R460" i="1" s="1"/>
  <c r="S460" i="1" a="1"/>
  <c r="S460" i="1"/>
  <c r="R461" i="1" a="1"/>
  <c r="R461" i="1" s="1"/>
  <c r="S461" i="1" a="1"/>
  <c r="S461" i="1"/>
  <c r="R462" i="1" a="1"/>
  <c r="R462" i="1" s="1"/>
  <c r="S462" i="1" a="1"/>
  <c r="S462" i="1" s="1"/>
  <c r="R463" i="1" a="1"/>
  <c r="R463" i="1" s="1"/>
  <c r="S463" i="1" a="1"/>
  <c r="S463" i="1" s="1"/>
  <c r="R464" i="1" a="1"/>
  <c r="R464" i="1" s="1"/>
  <c r="S464" i="1" a="1"/>
  <c r="S464" i="1"/>
  <c r="R465" i="1" a="1"/>
  <c r="R465" i="1" s="1"/>
  <c r="S465" i="1" a="1"/>
  <c r="S465" i="1"/>
  <c r="R466" i="1" a="1"/>
  <c r="R466" i="1" s="1"/>
  <c r="S466" i="1" a="1"/>
  <c r="S466" i="1" s="1"/>
  <c r="R467" i="1" a="1"/>
  <c r="R467" i="1" s="1"/>
  <c r="S467" i="1" a="1"/>
  <c r="S467" i="1" s="1"/>
  <c r="R468" i="1" a="1"/>
  <c r="R468" i="1" s="1"/>
  <c r="S468" i="1" a="1"/>
  <c r="S468" i="1"/>
  <c r="R469" i="1" a="1"/>
  <c r="R469" i="1" s="1"/>
  <c r="S469" i="1" a="1"/>
  <c r="S469" i="1"/>
  <c r="R470" i="1" a="1"/>
  <c r="R470" i="1" s="1"/>
  <c r="S470" i="1" a="1"/>
  <c r="S470" i="1" s="1"/>
  <c r="R471" i="1" a="1"/>
  <c r="R471" i="1" s="1"/>
  <c r="S471" i="1" a="1"/>
  <c r="S471" i="1" s="1"/>
  <c r="R472" i="1" a="1"/>
  <c r="R472" i="1" s="1"/>
  <c r="S472" i="1" a="1"/>
  <c r="S472" i="1"/>
  <c r="R473" i="1" a="1"/>
  <c r="R473" i="1" s="1"/>
  <c r="S473" i="1" a="1"/>
  <c r="S473" i="1"/>
  <c r="R474" i="1" a="1"/>
  <c r="R474" i="1" s="1"/>
  <c r="S474" i="1" a="1"/>
  <c r="S474" i="1" s="1"/>
  <c r="R475" i="1" a="1"/>
  <c r="R475" i="1"/>
  <c r="S475" i="1" a="1"/>
  <c r="S475" i="1" s="1"/>
  <c r="R476" i="1" a="1"/>
  <c r="R476" i="1"/>
  <c r="S476" i="1" a="1"/>
  <c r="S476" i="1" s="1"/>
  <c r="R477" i="1" a="1"/>
  <c r="R477" i="1"/>
  <c r="S477" i="1" a="1"/>
  <c r="S477" i="1" s="1"/>
  <c r="R478" i="1" a="1"/>
  <c r="R478" i="1"/>
  <c r="S478" i="1" a="1"/>
  <c r="S478" i="1" s="1"/>
  <c r="R479" i="1" a="1"/>
  <c r="R479" i="1"/>
  <c r="S479" i="1" a="1"/>
  <c r="S479" i="1" s="1"/>
  <c r="R480" i="1" a="1"/>
  <c r="R480" i="1"/>
  <c r="S480" i="1" a="1"/>
  <c r="S480" i="1" s="1"/>
  <c r="R481" i="1" a="1"/>
  <c r="R481" i="1"/>
  <c r="S481" i="1" a="1"/>
  <c r="S481" i="1" s="1"/>
  <c r="R482" i="1" a="1"/>
  <c r="R482" i="1" s="1"/>
  <c r="S482" i="1" a="1"/>
  <c r="S482" i="1" s="1"/>
  <c r="R483" i="1" a="1"/>
  <c r="R483" i="1" s="1"/>
  <c r="S483" i="1" a="1"/>
  <c r="S483" i="1" s="1"/>
  <c r="R484" i="1" a="1"/>
  <c r="R484" i="1" s="1"/>
  <c r="S484" i="1" a="1"/>
  <c r="S484" i="1" s="1"/>
  <c r="R485" i="1" a="1"/>
  <c r="R485" i="1" s="1"/>
  <c r="S485" i="1" a="1"/>
  <c r="S485" i="1" s="1"/>
  <c r="R486" i="1" a="1"/>
  <c r="R486" i="1" s="1"/>
  <c r="S486" i="1" a="1"/>
  <c r="S486" i="1" s="1"/>
  <c r="R487" i="1" a="1"/>
  <c r="R487" i="1" s="1"/>
  <c r="S487" i="1" a="1"/>
  <c r="S487" i="1" s="1"/>
  <c r="R488" i="1" a="1"/>
  <c r="R488" i="1" s="1"/>
  <c r="S488" i="1" a="1"/>
  <c r="S488" i="1" s="1"/>
  <c r="R489" i="1" a="1"/>
  <c r="R489" i="1" s="1"/>
  <c r="S489" i="1" a="1"/>
  <c r="S489" i="1" s="1"/>
  <c r="R490" i="1" a="1"/>
  <c r="R490" i="1" s="1"/>
  <c r="S490" i="1" a="1"/>
  <c r="S490" i="1" s="1"/>
  <c r="R491" i="1" a="1"/>
  <c r="R491" i="1" s="1"/>
  <c r="S491" i="1" a="1"/>
  <c r="S491" i="1" s="1"/>
  <c r="R492" i="1" a="1"/>
  <c r="R492" i="1" s="1"/>
  <c r="S492" i="1" a="1"/>
  <c r="S492" i="1" s="1"/>
  <c r="R493" i="1" a="1"/>
  <c r="R493" i="1" s="1"/>
  <c r="S493" i="1" a="1"/>
  <c r="S493" i="1" s="1"/>
  <c r="R494" i="1" a="1"/>
  <c r="R494" i="1" s="1"/>
  <c r="S494" i="1" a="1"/>
  <c r="S494" i="1" s="1"/>
  <c r="R495" i="1" a="1"/>
  <c r="R495" i="1" s="1"/>
  <c r="S495" i="1" a="1"/>
  <c r="S495" i="1" s="1"/>
  <c r="R496" i="1" a="1"/>
  <c r="R496" i="1" s="1"/>
  <c r="S496" i="1" a="1"/>
  <c r="S496" i="1" s="1"/>
  <c r="R497" i="1" a="1"/>
  <c r="R497" i="1" s="1"/>
  <c r="S497" i="1" a="1"/>
  <c r="S497" i="1" s="1"/>
  <c r="R498" i="1" a="1"/>
  <c r="R498" i="1" s="1"/>
  <c r="S498" i="1" a="1"/>
  <c r="S498" i="1" s="1"/>
  <c r="R499" i="1" a="1"/>
  <c r="R499" i="1" s="1"/>
  <c r="S499" i="1" a="1"/>
  <c r="S499" i="1" s="1"/>
  <c r="R500" i="1" a="1"/>
  <c r="R500" i="1" s="1"/>
  <c r="S500" i="1" a="1"/>
  <c r="S500" i="1" s="1"/>
  <c r="R501" i="1" a="1"/>
  <c r="R501" i="1" s="1"/>
  <c r="S501" i="1" a="1"/>
  <c r="S501" i="1" s="1"/>
  <c r="S2" i="1" a="1"/>
  <c r="S2" i="1" s="1"/>
  <c r="R2" i="1" a="1"/>
  <c r="R2" i="1" s="1"/>
  <c r="O3" i="1" l="1"/>
  <c r="P3" i="1"/>
  <c r="O4" i="1"/>
  <c r="P4" i="1"/>
  <c r="O5" i="1"/>
  <c r="P5" i="1"/>
  <c r="O6" i="1"/>
  <c r="P6" i="1"/>
  <c r="O7" i="1"/>
  <c r="P7" i="1"/>
  <c r="O8" i="1"/>
  <c r="P8" i="1"/>
  <c r="O9" i="1"/>
  <c r="P9" i="1"/>
  <c r="O10" i="1"/>
  <c r="P10" i="1"/>
  <c r="O11" i="1"/>
  <c r="P11" i="1"/>
  <c r="O12" i="1"/>
  <c r="P12" i="1"/>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28" i="1"/>
  <c r="P28" i="1"/>
  <c r="O29" i="1"/>
  <c r="P29" i="1"/>
  <c r="O30" i="1"/>
  <c r="P30" i="1"/>
  <c r="O31" i="1"/>
  <c r="P31" i="1"/>
  <c r="O32" i="1"/>
  <c r="P32" i="1"/>
  <c r="O33" i="1"/>
  <c r="P33" i="1"/>
  <c r="O34" i="1"/>
  <c r="P34" i="1"/>
  <c r="O35" i="1"/>
  <c r="P35" i="1"/>
  <c r="O36" i="1"/>
  <c r="P36" i="1"/>
  <c r="O37" i="1"/>
  <c r="P37" i="1"/>
  <c r="O38" i="1"/>
  <c r="P38" i="1"/>
  <c r="O39" i="1"/>
  <c r="P39" i="1"/>
  <c r="O40" i="1"/>
  <c r="P40" i="1"/>
  <c r="O41" i="1"/>
  <c r="P41" i="1"/>
  <c r="O42" i="1"/>
  <c r="P42" i="1"/>
  <c r="O43" i="1"/>
  <c r="P43" i="1"/>
  <c r="O44" i="1"/>
  <c r="P44" i="1"/>
  <c r="O45" i="1"/>
  <c r="P45" i="1"/>
  <c r="O46" i="1"/>
  <c r="P46" i="1"/>
  <c r="O47" i="1"/>
  <c r="P47" i="1"/>
  <c r="O48" i="1"/>
  <c r="P48" i="1"/>
  <c r="O49" i="1"/>
  <c r="P49" i="1"/>
  <c r="O50" i="1"/>
  <c r="P50" i="1"/>
  <c r="O51" i="1"/>
  <c r="P51" i="1"/>
  <c r="O52" i="1"/>
  <c r="P52" i="1"/>
  <c r="O53" i="1"/>
  <c r="P53" i="1"/>
  <c r="O54" i="1"/>
  <c r="P54" i="1"/>
  <c r="O55" i="1"/>
  <c r="P55" i="1"/>
  <c r="O56" i="1"/>
  <c r="P56" i="1"/>
  <c r="O57" i="1"/>
  <c r="P57" i="1"/>
  <c r="O58" i="1"/>
  <c r="P58" i="1"/>
  <c r="O59" i="1"/>
  <c r="P59" i="1"/>
  <c r="O60" i="1"/>
  <c r="P60" i="1"/>
  <c r="O61" i="1"/>
  <c r="P61" i="1"/>
  <c r="O62" i="1"/>
  <c r="P62" i="1"/>
  <c r="O63" i="1"/>
  <c r="P63" i="1"/>
  <c r="O64" i="1"/>
  <c r="P64" i="1"/>
  <c r="O65" i="1"/>
  <c r="P65" i="1"/>
  <c r="O66" i="1"/>
  <c r="P66" i="1"/>
  <c r="O67" i="1"/>
  <c r="P67" i="1"/>
  <c r="O68" i="1"/>
  <c r="P68" i="1"/>
  <c r="O69" i="1"/>
  <c r="P69" i="1"/>
  <c r="O70" i="1"/>
  <c r="P70" i="1"/>
  <c r="O71" i="1"/>
  <c r="P71" i="1"/>
  <c r="O72" i="1"/>
  <c r="P72" i="1"/>
  <c r="O73" i="1"/>
  <c r="P73" i="1"/>
  <c r="O74" i="1"/>
  <c r="P74" i="1"/>
  <c r="O75" i="1"/>
  <c r="P75" i="1"/>
  <c r="O76" i="1"/>
  <c r="P76" i="1"/>
  <c r="O77" i="1"/>
  <c r="P77" i="1"/>
  <c r="O78" i="1"/>
  <c r="P78" i="1"/>
  <c r="O79" i="1"/>
  <c r="P79" i="1"/>
  <c r="O80" i="1"/>
  <c r="P80" i="1"/>
  <c r="O81" i="1"/>
  <c r="P81" i="1"/>
  <c r="O82" i="1"/>
  <c r="P82" i="1"/>
  <c r="O83" i="1"/>
  <c r="P83" i="1"/>
  <c r="O84" i="1"/>
  <c r="P84" i="1"/>
  <c r="O85" i="1"/>
  <c r="P85" i="1"/>
  <c r="O86" i="1"/>
  <c r="P86" i="1"/>
  <c r="O87" i="1"/>
  <c r="P87" i="1"/>
  <c r="O88" i="1"/>
  <c r="P88" i="1"/>
  <c r="O89" i="1"/>
  <c r="P89" i="1"/>
  <c r="O90" i="1"/>
  <c r="P90" i="1"/>
  <c r="O91" i="1"/>
  <c r="P91" i="1"/>
  <c r="O92" i="1"/>
  <c r="P92" i="1"/>
  <c r="O93" i="1"/>
  <c r="P93" i="1"/>
  <c r="O94" i="1"/>
  <c r="P94" i="1"/>
  <c r="O95" i="1"/>
  <c r="P95" i="1"/>
  <c r="O96" i="1"/>
  <c r="P96" i="1"/>
  <c r="O97" i="1"/>
  <c r="P97" i="1"/>
  <c r="O98" i="1"/>
  <c r="P98" i="1"/>
  <c r="O99" i="1"/>
  <c r="P99" i="1"/>
  <c r="O100" i="1"/>
  <c r="P100" i="1"/>
  <c r="O101" i="1"/>
  <c r="P101" i="1"/>
  <c r="O102" i="1"/>
  <c r="P102" i="1"/>
  <c r="O103" i="1"/>
  <c r="P103" i="1"/>
  <c r="O104" i="1"/>
  <c r="P104" i="1"/>
  <c r="O105" i="1"/>
  <c r="P105" i="1"/>
  <c r="O106" i="1"/>
  <c r="P106" i="1"/>
  <c r="O107" i="1"/>
  <c r="P107" i="1"/>
  <c r="O108" i="1"/>
  <c r="P108" i="1"/>
  <c r="O109" i="1"/>
  <c r="P109" i="1"/>
  <c r="O110" i="1"/>
  <c r="P110" i="1"/>
  <c r="O111" i="1"/>
  <c r="P111" i="1"/>
  <c r="O112" i="1"/>
  <c r="P112" i="1"/>
  <c r="O113" i="1"/>
  <c r="P113" i="1"/>
  <c r="O114" i="1"/>
  <c r="P114" i="1"/>
  <c r="O115" i="1"/>
  <c r="P115" i="1"/>
  <c r="O116" i="1"/>
  <c r="P116" i="1"/>
  <c r="O117" i="1"/>
  <c r="P117" i="1"/>
  <c r="O118" i="1"/>
  <c r="P118" i="1"/>
  <c r="O119" i="1"/>
  <c r="P119" i="1"/>
  <c r="O120" i="1"/>
  <c r="P120" i="1"/>
  <c r="O121" i="1"/>
  <c r="P121" i="1"/>
  <c r="O122" i="1"/>
  <c r="P122" i="1"/>
  <c r="O123" i="1"/>
  <c r="P123" i="1"/>
  <c r="O124" i="1"/>
  <c r="P124" i="1"/>
  <c r="O125" i="1"/>
  <c r="P125" i="1"/>
  <c r="O126" i="1"/>
  <c r="P126" i="1"/>
  <c r="O127" i="1"/>
  <c r="P127" i="1"/>
  <c r="O128" i="1"/>
  <c r="P128" i="1"/>
  <c r="O129" i="1"/>
  <c r="P129" i="1"/>
  <c r="O130" i="1"/>
  <c r="P130" i="1"/>
  <c r="O131" i="1"/>
  <c r="P131" i="1"/>
  <c r="O132" i="1"/>
  <c r="P132" i="1"/>
  <c r="O133" i="1"/>
  <c r="P133" i="1"/>
  <c r="O134" i="1"/>
  <c r="P134" i="1"/>
  <c r="O135" i="1"/>
  <c r="P135" i="1"/>
  <c r="O136" i="1"/>
  <c r="P136" i="1"/>
  <c r="O137" i="1"/>
  <c r="P137" i="1"/>
  <c r="O138" i="1"/>
  <c r="P138" i="1"/>
  <c r="O139" i="1"/>
  <c r="P139" i="1"/>
  <c r="O140" i="1"/>
  <c r="P140" i="1"/>
  <c r="O141" i="1"/>
  <c r="P141" i="1"/>
  <c r="O142" i="1"/>
  <c r="P142" i="1"/>
  <c r="O143" i="1"/>
  <c r="P143" i="1"/>
  <c r="O144" i="1"/>
  <c r="P144" i="1"/>
  <c r="O145" i="1"/>
  <c r="P145" i="1"/>
  <c r="O146" i="1"/>
  <c r="P146" i="1"/>
  <c r="O147" i="1"/>
  <c r="P147" i="1"/>
  <c r="O148" i="1"/>
  <c r="P148" i="1"/>
  <c r="O149" i="1"/>
  <c r="P149" i="1"/>
  <c r="O150" i="1"/>
  <c r="P150" i="1"/>
  <c r="O151" i="1"/>
  <c r="P151" i="1"/>
  <c r="O152" i="1"/>
  <c r="P152" i="1"/>
  <c r="O153" i="1"/>
  <c r="P153" i="1"/>
  <c r="O154" i="1"/>
  <c r="P154" i="1"/>
  <c r="O155" i="1"/>
  <c r="P155" i="1"/>
  <c r="O156" i="1"/>
  <c r="P156" i="1"/>
  <c r="O157" i="1"/>
  <c r="P157" i="1"/>
  <c r="O158" i="1"/>
  <c r="P158" i="1"/>
  <c r="O159" i="1"/>
  <c r="P159" i="1"/>
  <c r="O160" i="1"/>
  <c r="P160" i="1"/>
  <c r="O161" i="1"/>
  <c r="P161" i="1"/>
  <c r="O162" i="1"/>
  <c r="P162" i="1"/>
  <c r="O163" i="1"/>
  <c r="P163" i="1"/>
  <c r="O164" i="1"/>
  <c r="P164" i="1"/>
  <c r="O165" i="1"/>
  <c r="P165" i="1"/>
  <c r="O166" i="1"/>
  <c r="P166" i="1"/>
  <c r="O167" i="1"/>
  <c r="P167" i="1"/>
  <c r="O168" i="1"/>
  <c r="P168" i="1"/>
  <c r="O169" i="1"/>
  <c r="P169" i="1"/>
  <c r="O170" i="1"/>
  <c r="P170" i="1"/>
  <c r="O171" i="1"/>
  <c r="P171" i="1"/>
  <c r="O172" i="1"/>
  <c r="P172" i="1"/>
  <c r="O173" i="1"/>
  <c r="P173" i="1"/>
  <c r="O174" i="1"/>
  <c r="P174" i="1"/>
  <c r="O175" i="1"/>
  <c r="P175" i="1"/>
  <c r="O176" i="1"/>
  <c r="P176" i="1"/>
  <c r="O177" i="1"/>
  <c r="P177" i="1"/>
  <c r="O178" i="1"/>
  <c r="P178" i="1"/>
  <c r="O179" i="1"/>
  <c r="P179" i="1"/>
  <c r="O180" i="1"/>
  <c r="P180" i="1"/>
  <c r="O181" i="1"/>
  <c r="P181" i="1"/>
  <c r="O182" i="1"/>
  <c r="P182" i="1"/>
  <c r="O183" i="1"/>
  <c r="P183" i="1"/>
  <c r="O184" i="1"/>
  <c r="P184" i="1"/>
  <c r="O185" i="1"/>
  <c r="P185" i="1"/>
  <c r="O186" i="1"/>
  <c r="P186" i="1"/>
  <c r="O187" i="1"/>
  <c r="P187" i="1"/>
  <c r="O188" i="1"/>
  <c r="P188" i="1"/>
  <c r="O189" i="1"/>
  <c r="P189" i="1"/>
  <c r="O190" i="1"/>
  <c r="P190" i="1"/>
  <c r="O191" i="1"/>
  <c r="P191" i="1"/>
  <c r="O192" i="1"/>
  <c r="P192" i="1"/>
  <c r="O193" i="1"/>
  <c r="P193" i="1"/>
  <c r="O194" i="1"/>
  <c r="P194" i="1"/>
  <c r="O195" i="1"/>
  <c r="P195" i="1"/>
  <c r="O196" i="1"/>
  <c r="P196" i="1"/>
  <c r="O197" i="1"/>
  <c r="P197" i="1"/>
  <c r="O198" i="1"/>
  <c r="P198" i="1"/>
  <c r="O199" i="1"/>
  <c r="P199" i="1"/>
  <c r="O200" i="1"/>
  <c r="P200" i="1"/>
  <c r="O201" i="1"/>
  <c r="P201" i="1"/>
  <c r="O202" i="1"/>
  <c r="P202" i="1"/>
  <c r="O203" i="1"/>
  <c r="P203" i="1"/>
  <c r="O204" i="1"/>
  <c r="P204" i="1"/>
  <c r="O205" i="1"/>
  <c r="P205" i="1"/>
  <c r="O206" i="1"/>
  <c r="P206" i="1"/>
  <c r="O207" i="1"/>
  <c r="P207" i="1"/>
  <c r="O208" i="1"/>
  <c r="P208" i="1"/>
  <c r="O209" i="1"/>
  <c r="P209" i="1"/>
  <c r="O210" i="1"/>
  <c r="P210" i="1"/>
  <c r="O211" i="1"/>
  <c r="P211" i="1"/>
  <c r="O212" i="1"/>
  <c r="P212" i="1"/>
  <c r="O213" i="1"/>
  <c r="P213" i="1"/>
  <c r="O214" i="1"/>
  <c r="P214" i="1"/>
  <c r="O215" i="1"/>
  <c r="P215" i="1"/>
  <c r="O216" i="1"/>
  <c r="P216" i="1"/>
  <c r="O217" i="1"/>
  <c r="P217" i="1"/>
  <c r="O218" i="1"/>
  <c r="P218" i="1"/>
  <c r="O219" i="1"/>
  <c r="P219" i="1"/>
  <c r="O220" i="1"/>
  <c r="P220" i="1"/>
  <c r="O221" i="1"/>
  <c r="P221" i="1"/>
  <c r="O222" i="1"/>
  <c r="P222" i="1"/>
  <c r="O223" i="1"/>
  <c r="P223" i="1"/>
  <c r="O224" i="1"/>
  <c r="P224" i="1"/>
  <c r="O225" i="1"/>
  <c r="P225" i="1"/>
  <c r="O226" i="1"/>
  <c r="P226" i="1"/>
  <c r="O227" i="1"/>
  <c r="P227" i="1"/>
  <c r="O228" i="1"/>
  <c r="P228" i="1"/>
  <c r="O229" i="1"/>
  <c r="P229" i="1"/>
  <c r="O230" i="1"/>
  <c r="P230" i="1"/>
  <c r="O231" i="1"/>
  <c r="P231" i="1"/>
  <c r="O232" i="1"/>
  <c r="P232" i="1"/>
  <c r="O233" i="1"/>
  <c r="P233" i="1"/>
  <c r="O234" i="1"/>
  <c r="P234" i="1"/>
  <c r="O235" i="1"/>
  <c r="P235" i="1"/>
  <c r="O236" i="1"/>
  <c r="P236" i="1"/>
  <c r="O237" i="1"/>
  <c r="P237" i="1"/>
  <c r="O238" i="1"/>
  <c r="P238" i="1"/>
  <c r="O239" i="1"/>
  <c r="P239" i="1"/>
  <c r="O240" i="1"/>
  <c r="P240" i="1"/>
  <c r="O241" i="1"/>
  <c r="P241" i="1"/>
  <c r="O242" i="1"/>
  <c r="P242" i="1"/>
  <c r="O243" i="1"/>
  <c r="P243" i="1"/>
  <c r="O244" i="1"/>
  <c r="P244" i="1"/>
  <c r="O245" i="1"/>
  <c r="P245" i="1"/>
  <c r="O246" i="1"/>
  <c r="P246" i="1"/>
  <c r="O247" i="1"/>
  <c r="P247" i="1"/>
  <c r="O248" i="1"/>
  <c r="P248" i="1"/>
  <c r="O249" i="1"/>
  <c r="P249" i="1"/>
  <c r="O250" i="1"/>
  <c r="P250" i="1"/>
  <c r="O251" i="1"/>
  <c r="P251" i="1"/>
  <c r="O252" i="1"/>
  <c r="P252" i="1"/>
  <c r="O253" i="1"/>
  <c r="P253" i="1"/>
  <c r="O254" i="1"/>
  <c r="P254" i="1"/>
  <c r="O255" i="1"/>
  <c r="P255" i="1"/>
  <c r="O256" i="1"/>
  <c r="P256" i="1"/>
  <c r="O257" i="1"/>
  <c r="P257" i="1"/>
  <c r="O258" i="1"/>
  <c r="P258" i="1"/>
  <c r="O259" i="1"/>
  <c r="P259" i="1"/>
  <c r="O260" i="1"/>
  <c r="P260" i="1"/>
  <c r="O261" i="1"/>
  <c r="P261" i="1"/>
  <c r="O262" i="1"/>
  <c r="P262" i="1"/>
  <c r="O263" i="1"/>
  <c r="P263" i="1"/>
  <c r="O264" i="1"/>
  <c r="P264" i="1"/>
  <c r="O265" i="1"/>
  <c r="P265" i="1"/>
  <c r="O266" i="1"/>
  <c r="P266" i="1"/>
  <c r="O267" i="1"/>
  <c r="P267" i="1"/>
  <c r="O268" i="1"/>
  <c r="P268" i="1"/>
  <c r="O269" i="1"/>
  <c r="P269" i="1"/>
  <c r="O270" i="1"/>
  <c r="P270" i="1"/>
  <c r="O271" i="1"/>
  <c r="P271" i="1"/>
  <c r="O272" i="1"/>
  <c r="P272" i="1"/>
  <c r="O273" i="1"/>
  <c r="P273" i="1"/>
  <c r="O274" i="1"/>
  <c r="P274" i="1"/>
  <c r="O275" i="1"/>
  <c r="P275" i="1"/>
  <c r="O276" i="1"/>
  <c r="P276" i="1"/>
  <c r="O277" i="1"/>
  <c r="P277" i="1"/>
  <c r="O278" i="1"/>
  <c r="P278" i="1"/>
  <c r="O279" i="1"/>
  <c r="P279" i="1"/>
  <c r="O280" i="1"/>
  <c r="P280" i="1"/>
  <c r="O281" i="1"/>
  <c r="P281" i="1"/>
  <c r="O282" i="1"/>
  <c r="P282" i="1"/>
  <c r="O283" i="1"/>
  <c r="P283" i="1"/>
  <c r="O284" i="1"/>
  <c r="P284" i="1"/>
  <c r="O285" i="1"/>
  <c r="P285" i="1"/>
  <c r="O286" i="1"/>
  <c r="P286" i="1"/>
  <c r="O287" i="1"/>
  <c r="P287" i="1"/>
  <c r="O288" i="1"/>
  <c r="P288" i="1"/>
  <c r="O289" i="1"/>
  <c r="P289" i="1"/>
  <c r="O290" i="1"/>
  <c r="P290" i="1"/>
  <c r="O291" i="1"/>
  <c r="P291" i="1"/>
  <c r="O292" i="1"/>
  <c r="P292" i="1"/>
  <c r="O293" i="1"/>
  <c r="P293" i="1"/>
  <c r="O294" i="1"/>
  <c r="P294" i="1"/>
  <c r="O295" i="1"/>
  <c r="P295" i="1"/>
  <c r="O296" i="1"/>
  <c r="P296" i="1"/>
  <c r="O297" i="1"/>
  <c r="P297" i="1"/>
  <c r="O298" i="1"/>
  <c r="P298" i="1"/>
  <c r="O299" i="1"/>
  <c r="P299" i="1"/>
  <c r="O300" i="1"/>
  <c r="P300" i="1"/>
  <c r="O301" i="1"/>
  <c r="P301" i="1"/>
  <c r="O302" i="1"/>
  <c r="P302" i="1"/>
  <c r="O303" i="1"/>
  <c r="P303" i="1"/>
  <c r="O304" i="1"/>
  <c r="P304" i="1"/>
  <c r="O305" i="1"/>
  <c r="P305" i="1"/>
  <c r="O306" i="1"/>
  <c r="P306" i="1"/>
  <c r="O307" i="1"/>
  <c r="P307" i="1"/>
  <c r="O308" i="1"/>
  <c r="P308" i="1"/>
  <c r="O309" i="1"/>
  <c r="P309" i="1"/>
  <c r="O310" i="1"/>
  <c r="P310" i="1"/>
  <c r="O311" i="1"/>
  <c r="P311" i="1"/>
  <c r="O312" i="1"/>
  <c r="P312" i="1"/>
  <c r="O313" i="1"/>
  <c r="P313" i="1"/>
  <c r="O314" i="1"/>
  <c r="P314" i="1"/>
  <c r="O315" i="1"/>
  <c r="P315" i="1"/>
  <c r="O316" i="1"/>
  <c r="P316" i="1"/>
  <c r="O317" i="1"/>
  <c r="P317" i="1"/>
  <c r="O318" i="1"/>
  <c r="P318" i="1"/>
  <c r="O319" i="1"/>
  <c r="P319" i="1"/>
  <c r="O320" i="1"/>
  <c r="P320" i="1"/>
  <c r="O321" i="1"/>
  <c r="P321" i="1"/>
  <c r="O322" i="1"/>
  <c r="P322" i="1"/>
  <c r="O323" i="1"/>
  <c r="P323" i="1"/>
  <c r="O324" i="1"/>
  <c r="P324" i="1"/>
  <c r="O325" i="1"/>
  <c r="P325" i="1"/>
  <c r="O326" i="1"/>
  <c r="P326" i="1"/>
  <c r="O327" i="1"/>
  <c r="P327" i="1"/>
  <c r="O328" i="1"/>
  <c r="P328" i="1"/>
  <c r="O329" i="1"/>
  <c r="P329" i="1"/>
  <c r="O330" i="1"/>
  <c r="P330" i="1"/>
  <c r="O331" i="1"/>
  <c r="P331" i="1"/>
  <c r="O332" i="1"/>
  <c r="P332" i="1"/>
  <c r="O333" i="1"/>
  <c r="P333" i="1"/>
  <c r="O334" i="1"/>
  <c r="P334" i="1"/>
  <c r="O335" i="1"/>
  <c r="P335" i="1"/>
  <c r="O336" i="1"/>
  <c r="P336" i="1"/>
  <c r="O337" i="1"/>
  <c r="P337" i="1"/>
  <c r="O338" i="1"/>
  <c r="P338" i="1"/>
  <c r="O339" i="1"/>
  <c r="P339" i="1"/>
  <c r="O340" i="1"/>
  <c r="P340" i="1"/>
  <c r="O341" i="1"/>
  <c r="P341" i="1"/>
  <c r="O342" i="1"/>
  <c r="P342" i="1"/>
  <c r="O343" i="1"/>
  <c r="P343" i="1"/>
  <c r="O344" i="1"/>
  <c r="P344" i="1"/>
  <c r="O345" i="1"/>
  <c r="P345" i="1"/>
  <c r="O346" i="1"/>
  <c r="P346" i="1"/>
  <c r="O347" i="1"/>
  <c r="P347" i="1"/>
  <c r="O348" i="1"/>
  <c r="P348" i="1"/>
  <c r="O349" i="1"/>
  <c r="P349" i="1"/>
  <c r="O350" i="1"/>
  <c r="P350" i="1"/>
  <c r="O351" i="1"/>
  <c r="P351" i="1"/>
  <c r="O352" i="1"/>
  <c r="P352" i="1"/>
  <c r="O353" i="1"/>
  <c r="P353" i="1"/>
  <c r="O354" i="1"/>
  <c r="P354" i="1"/>
  <c r="O355" i="1"/>
  <c r="P355" i="1"/>
  <c r="O356" i="1"/>
  <c r="P356" i="1"/>
  <c r="O357" i="1"/>
  <c r="P357" i="1"/>
  <c r="O358" i="1"/>
  <c r="P358" i="1"/>
  <c r="O359" i="1"/>
  <c r="P359" i="1"/>
  <c r="O360" i="1"/>
  <c r="P360" i="1"/>
  <c r="O361" i="1"/>
  <c r="P361" i="1"/>
  <c r="O362" i="1"/>
  <c r="P362" i="1"/>
  <c r="O363" i="1"/>
  <c r="P363" i="1"/>
  <c r="O364" i="1"/>
  <c r="P364" i="1"/>
  <c r="O365" i="1"/>
  <c r="P365" i="1"/>
  <c r="O366" i="1"/>
  <c r="P366" i="1"/>
  <c r="O367" i="1"/>
  <c r="P367" i="1"/>
  <c r="O368" i="1"/>
  <c r="P368" i="1"/>
  <c r="O369" i="1"/>
  <c r="P369" i="1"/>
  <c r="O370" i="1"/>
  <c r="P370" i="1"/>
  <c r="O371" i="1"/>
  <c r="P371" i="1"/>
  <c r="O372" i="1"/>
  <c r="P372" i="1"/>
  <c r="O373" i="1"/>
  <c r="P373" i="1"/>
  <c r="O374" i="1"/>
  <c r="P374" i="1"/>
  <c r="O375" i="1"/>
  <c r="P375" i="1"/>
  <c r="O376" i="1"/>
  <c r="P376" i="1"/>
  <c r="O377" i="1"/>
  <c r="P377" i="1"/>
  <c r="O378" i="1"/>
  <c r="P378" i="1"/>
  <c r="O379" i="1"/>
  <c r="P379" i="1"/>
  <c r="O380" i="1"/>
  <c r="P380" i="1"/>
  <c r="O381" i="1"/>
  <c r="P381" i="1"/>
  <c r="O382" i="1"/>
  <c r="P382" i="1"/>
  <c r="O383" i="1"/>
  <c r="P383" i="1"/>
  <c r="O384" i="1"/>
  <c r="P384" i="1"/>
  <c r="O385" i="1"/>
  <c r="P385" i="1"/>
  <c r="O386" i="1"/>
  <c r="P386" i="1"/>
  <c r="O387" i="1"/>
  <c r="P387" i="1"/>
  <c r="O388" i="1"/>
  <c r="P388" i="1"/>
  <c r="O389" i="1"/>
  <c r="P389" i="1"/>
  <c r="O390" i="1"/>
  <c r="P390" i="1"/>
  <c r="O391" i="1"/>
  <c r="P391" i="1"/>
  <c r="O392" i="1"/>
  <c r="P392" i="1"/>
  <c r="O393" i="1"/>
  <c r="P393" i="1"/>
  <c r="O394" i="1"/>
  <c r="P394" i="1"/>
  <c r="O395" i="1"/>
  <c r="P395" i="1"/>
  <c r="O396" i="1"/>
  <c r="P396" i="1"/>
  <c r="O397" i="1"/>
  <c r="P397" i="1"/>
  <c r="O398" i="1"/>
  <c r="P398" i="1"/>
  <c r="O399" i="1"/>
  <c r="P399" i="1"/>
  <c r="O400" i="1"/>
  <c r="P400" i="1"/>
  <c r="O401" i="1"/>
  <c r="P401" i="1"/>
  <c r="O402" i="1"/>
  <c r="P402" i="1"/>
  <c r="O403" i="1"/>
  <c r="P403" i="1"/>
  <c r="O404" i="1"/>
  <c r="P404" i="1"/>
  <c r="O405" i="1"/>
  <c r="P405" i="1"/>
  <c r="O406" i="1"/>
  <c r="P406" i="1"/>
  <c r="O407" i="1"/>
  <c r="P407" i="1"/>
  <c r="O408" i="1"/>
  <c r="P408" i="1"/>
  <c r="O409" i="1"/>
  <c r="P409" i="1"/>
  <c r="O410" i="1"/>
  <c r="P410" i="1"/>
  <c r="O411" i="1"/>
  <c r="P411" i="1"/>
  <c r="O412" i="1"/>
  <c r="P412" i="1"/>
  <c r="O413" i="1"/>
  <c r="P413" i="1"/>
  <c r="O414" i="1"/>
  <c r="P414" i="1"/>
  <c r="O415" i="1"/>
  <c r="P415" i="1"/>
  <c r="O416" i="1"/>
  <c r="P416" i="1"/>
  <c r="O417" i="1"/>
  <c r="P417" i="1"/>
  <c r="O418" i="1"/>
  <c r="P418" i="1"/>
  <c r="O419" i="1"/>
  <c r="P419" i="1"/>
  <c r="O420" i="1"/>
  <c r="P420" i="1"/>
  <c r="O421" i="1"/>
  <c r="P421" i="1"/>
  <c r="O422" i="1"/>
  <c r="P422" i="1"/>
  <c r="O423" i="1"/>
  <c r="P423" i="1"/>
  <c r="O424" i="1"/>
  <c r="P424" i="1"/>
  <c r="O425" i="1"/>
  <c r="P425" i="1"/>
  <c r="O426" i="1"/>
  <c r="P426" i="1"/>
  <c r="O427" i="1"/>
  <c r="P427" i="1"/>
  <c r="O428" i="1"/>
  <c r="P428" i="1"/>
  <c r="O429" i="1"/>
  <c r="P429" i="1"/>
  <c r="O430" i="1"/>
  <c r="P430" i="1"/>
  <c r="O431" i="1"/>
  <c r="P431" i="1"/>
  <c r="O432" i="1"/>
  <c r="P432" i="1"/>
  <c r="O433" i="1"/>
  <c r="P433" i="1"/>
  <c r="O434" i="1"/>
  <c r="P434" i="1"/>
  <c r="O435" i="1"/>
  <c r="P435" i="1"/>
  <c r="O436" i="1"/>
  <c r="P436" i="1"/>
  <c r="O437" i="1"/>
  <c r="P437" i="1"/>
  <c r="O438" i="1"/>
  <c r="P438" i="1"/>
  <c r="O439" i="1"/>
  <c r="P439" i="1"/>
  <c r="O440" i="1"/>
  <c r="P440" i="1"/>
  <c r="O441" i="1"/>
  <c r="P441" i="1"/>
  <c r="O442" i="1"/>
  <c r="P442" i="1"/>
  <c r="O443" i="1"/>
  <c r="P443" i="1"/>
  <c r="O444" i="1"/>
  <c r="P444" i="1"/>
  <c r="O445" i="1"/>
  <c r="P445" i="1"/>
  <c r="O446" i="1"/>
  <c r="P446" i="1"/>
  <c r="O447" i="1"/>
  <c r="P447" i="1"/>
  <c r="O448" i="1"/>
  <c r="P448" i="1"/>
  <c r="O449" i="1"/>
  <c r="P449" i="1"/>
  <c r="O450" i="1"/>
  <c r="P450" i="1"/>
  <c r="O451" i="1"/>
  <c r="P451" i="1"/>
  <c r="O452" i="1"/>
  <c r="P452" i="1"/>
  <c r="O453" i="1"/>
  <c r="P453" i="1"/>
  <c r="O454" i="1"/>
  <c r="P454" i="1"/>
  <c r="O455" i="1"/>
  <c r="P455" i="1"/>
  <c r="O456" i="1"/>
  <c r="P456" i="1"/>
  <c r="O457" i="1"/>
  <c r="P457" i="1"/>
  <c r="O458" i="1"/>
  <c r="P458" i="1"/>
  <c r="O459" i="1"/>
  <c r="P459" i="1"/>
  <c r="O460" i="1"/>
  <c r="P460" i="1"/>
  <c r="O461" i="1"/>
  <c r="P461" i="1"/>
  <c r="O462" i="1"/>
  <c r="P462" i="1"/>
  <c r="O463" i="1"/>
  <c r="P463" i="1"/>
  <c r="O464" i="1"/>
  <c r="P464" i="1"/>
  <c r="O465" i="1"/>
  <c r="P465" i="1"/>
  <c r="O466" i="1"/>
  <c r="P466" i="1"/>
  <c r="O467" i="1"/>
  <c r="P467" i="1"/>
  <c r="O468" i="1"/>
  <c r="P468" i="1"/>
  <c r="O469" i="1"/>
  <c r="P469" i="1"/>
  <c r="O470" i="1"/>
  <c r="P470" i="1"/>
  <c r="O471" i="1"/>
  <c r="P471" i="1"/>
  <c r="O472" i="1"/>
  <c r="P472" i="1"/>
  <c r="O473" i="1"/>
  <c r="P473" i="1"/>
  <c r="O474" i="1"/>
  <c r="P474" i="1"/>
  <c r="O475" i="1"/>
  <c r="P475" i="1"/>
  <c r="O476" i="1"/>
  <c r="P476" i="1"/>
  <c r="O477" i="1"/>
  <c r="P477" i="1"/>
  <c r="O478" i="1"/>
  <c r="P478" i="1"/>
  <c r="O479" i="1"/>
  <c r="P479" i="1"/>
  <c r="O480" i="1"/>
  <c r="P480" i="1"/>
  <c r="O481" i="1"/>
  <c r="P481" i="1"/>
  <c r="O482" i="1"/>
  <c r="P482" i="1"/>
  <c r="O483" i="1"/>
  <c r="P483" i="1"/>
  <c r="O484" i="1"/>
  <c r="P484" i="1"/>
  <c r="O485" i="1"/>
  <c r="P485" i="1"/>
  <c r="O486" i="1"/>
  <c r="P486" i="1"/>
  <c r="O487" i="1"/>
  <c r="P487" i="1"/>
  <c r="O488" i="1"/>
  <c r="P488" i="1"/>
  <c r="O489" i="1"/>
  <c r="P489" i="1"/>
  <c r="O490" i="1"/>
  <c r="P490" i="1"/>
  <c r="O491" i="1"/>
  <c r="P491" i="1"/>
  <c r="O492" i="1"/>
  <c r="P492" i="1"/>
  <c r="O493" i="1"/>
  <c r="P493" i="1"/>
  <c r="O494" i="1"/>
  <c r="P494" i="1"/>
  <c r="O495" i="1"/>
  <c r="P495" i="1"/>
  <c r="O496" i="1"/>
  <c r="P496" i="1"/>
  <c r="O497" i="1"/>
  <c r="P497" i="1"/>
  <c r="O498" i="1"/>
  <c r="P498" i="1"/>
  <c r="O499" i="1"/>
  <c r="P499" i="1"/>
  <c r="O500" i="1"/>
  <c r="P500" i="1"/>
  <c r="O501" i="1"/>
  <c r="P501" i="1"/>
  <c r="P2" i="1"/>
  <c r="O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<sst xmlns="http://schemas.openxmlformats.org/spreadsheetml/2006/main" count="1574" uniqueCount="61">
  <si>
    <t>CustomerID</t>
  </si>
  <si>
    <t>Surname</t>
  </si>
  <si>
    <t>CreditScore</t>
  </si>
  <si>
    <t>Geography</t>
  </si>
  <si>
    <t>Gender</t>
  </si>
  <si>
    <t>Age</t>
  </si>
  <si>
    <t>Tenure</t>
  </si>
  <si>
    <t>Balance</t>
  </si>
  <si>
    <t>NumOfProducts</t>
  </si>
  <si>
    <t>HasCrCard</t>
  </si>
  <si>
    <t>IsActiveMember</t>
  </si>
  <si>
    <t>EstimatedSalary</t>
  </si>
  <si>
    <t>Davis</t>
  </si>
  <si>
    <t>Smith</t>
  </si>
  <si>
    <t>Jones</t>
  </si>
  <si>
    <t>Wilson</t>
  </si>
  <si>
    <t>Taylor</t>
  </si>
  <si>
    <t>Williams</t>
  </si>
  <si>
    <t>Brown</t>
  </si>
  <si>
    <t>Miller</t>
  </si>
  <si>
    <t>Moore</t>
  </si>
  <si>
    <t>Johnson</t>
  </si>
  <si>
    <t>Germany</t>
  </si>
  <si>
    <t>Spain</t>
  </si>
  <si>
    <t>France</t>
  </si>
  <si>
    <t>Male</t>
  </si>
  <si>
    <t>Female</t>
  </si>
  <si>
    <t>Churn</t>
  </si>
  <si>
    <t>Row Labels</t>
  </si>
  <si>
    <t>Grand Total</t>
  </si>
  <si>
    <t>Average of CreditScore</t>
  </si>
  <si>
    <t>Spain has the highest average credit score (600.99), followed by France (592.55) and Germany (579.69).</t>
  </si>
  <si>
    <t>FINDING:</t>
  </si>
  <si>
    <t>Column Labels</t>
  </si>
  <si>
    <t>Average of Balance</t>
  </si>
  <si>
    <t>Male customers in France hold higher average balances than females, while in Germany the reverse is true — females hold significantly higher balances. Spain shows the lowest balances overall for both genders, with males and females being very close.</t>
  </si>
  <si>
    <t>Count of CustomerID</t>
  </si>
  <si>
    <t>FINDING</t>
  </si>
  <si>
    <t>Customers without a credit card are more likely to be non-active members (140 vs 113). Customers with a credit card are more evenly split between active and non-active (124 vs 123). This suggests that having a credit card has little influence on whether a customer remains active.</t>
  </si>
  <si>
    <t>Total Customers</t>
  </si>
  <si>
    <t>Churn Rate</t>
  </si>
  <si>
    <t>FINDINGS:</t>
  </si>
  <si>
    <t>Churn rate is consistently high across all product groups, ranging from 52.5% to 55.2%. Customers using 4 products have the slightly lowest churn rate. There is no strong relationship between number of products used and likelihood of churning.</t>
  </si>
  <si>
    <t>There is no consistent pattern between credit score and churn across tenure groups. In some tenure years churned customers have higher credit scores than those who stayed, and in others the reverse is true. This suggests credit score alone does not reliably predict churn at any tenure level.</t>
  </si>
  <si>
    <t>Churned Salary</t>
  </si>
  <si>
    <t>Stayed Salary</t>
  </si>
  <si>
    <t>t-Test: Two-Sample Assuming Equal Variances</t>
  </si>
  <si>
    <t>Variable 1</t>
  </si>
  <si>
    <t>Variable 2</t>
  </si>
  <si>
    <t>Mean</t>
  </si>
  <si>
    <t>Variance</t>
  </si>
  <si>
    <t>Observations</t>
  </si>
  <si>
    <t>Pooled Variance</t>
  </si>
  <si>
    <t>Hypothesized Mean Difference</t>
  </si>
  <si>
    <t>df</t>
  </si>
  <si>
    <t>t Stat</t>
  </si>
  <si>
    <t>P(T&lt;=t) one-tail</t>
  </si>
  <si>
    <t>t Critical one-tail</t>
  </si>
  <si>
    <t>P(T&lt;=t) two-tail</t>
  </si>
  <si>
    <t>t Critical two-tail</t>
  </si>
  <si>
    <t>The t-test result shows a p-value of 0.4214, which is greater than the significance level of 0.05. Therefore, we fail to reject the null hypothesis. There is no significant difference in average estimated salary between churned customers (avg: 83,428.09) and non-churned customers (avg: 80,464.52).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</si>
</sst>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horizontal="left" vertical="center" indent="1"/>
    </xf>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yinoluwa Don-Taiwo" refreshedDate="46096.82255636574" createdVersion="8" refreshedVersion="8" minRefreshableVersion="3" recordCount="500" xr:uid="{2FE41217-CA8C-4097-B3CC-779F0C8FB55B}">
  <cacheSource type="worksheet">
    <worksheetSource ref="A1:M501" sheet="Sheet1"/>
  </cacheSource>
  <cacheFields count="13">
    <cacheField name="CustomerID" numFmtId="0">
      <sharedItems containsSemiMixedTypes="0" containsString="0" containsNumber="1" containsInteger="1" minValue="1" maxValue="500"/>
    </cacheField>
    <cacheField name="Surname" numFmtId="0">
      <sharedItems/>
    </cacheField>
    <cacheField name="CreditScore" numFmtId="0">
      <sharedItems containsSemiMixedTypes="0" containsString="0" containsNumber="1" containsInteger="1" minValue="350" maxValue="849"/>
    </cacheField>
    <cacheField name="Geography" numFmtId="0">
      <sharedItems count="3">
        <s v="Germany"/>
        <s v="Spain"/>
        <s v="France"/>
      </sharedItems>
    </cacheField>
    <cacheField name="Gender" numFmtId="0">
      <sharedItems count="2">
        <s v="Male"/>
        <s v="Female"/>
      </sharedItems>
    </cacheField>
    <cacheField name="Age" numFmtId="0">
      <sharedItems containsSemiMixedTypes="0" containsString="0" containsNumber="1" containsInteger="1" minValue="18" maxValue="91"/>
    </cacheField>
    <cacheField name="Tenure" numFmtId="0">
      <sharedItems containsSemiMixedTypes="0" containsString="0" containsNumber="1" containsInteger="1" minValue="0" maxValue="10" count="11">
        <n v="7"/>
        <n v="3"/>
        <n v="6"/>
        <n v="0"/>
        <n v="2"/>
        <n v="10"/>
        <n v="5"/>
        <n v="1"/>
        <n v="4"/>
        <n v="8"/>
        <n v="9"/>
      </sharedItems>
    </cacheField>
    <cacheField name="Balance" numFmtId="0">
      <sharedItems containsSemiMixedTypes="0" containsString="0" containsNumber="1" minValue="46.68" maxValue="249802"/>
    </cacheField>
    <cacheField name="NumOfProducts" numFmtId="0">
      <sharedItems containsSemiMixedTypes="0" containsString="0" containsNumber="1" containsInteger="1" minValue="1" maxValue="4" count="4">
        <n v="3"/>
        <n v="1"/>
        <n v="4"/>
        <n v="2"/>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0"/>
        <n v="1"/>
      </sharedItems>
    </cacheField>
    <cacheField name="EstimatedSalary" numFmtId="0">
      <sharedItems containsSemiMixedTypes="0" containsString="0" containsNumber="1" minValue="10127.81" maxValue="149768.04999999999"/>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Davis"/>
    <n v="764"/>
    <x v="0"/>
    <x v="0"/>
    <n v="20"/>
    <x v="0"/>
    <n v="119274.87"/>
    <x v="0"/>
    <x v="0"/>
    <x v="0"/>
    <n v="107886.77"/>
    <x v="0"/>
  </r>
  <r>
    <n v="2"/>
    <s v="Smith"/>
    <n v="365"/>
    <x v="1"/>
    <x v="1"/>
    <n v="64"/>
    <x v="1"/>
    <n v="203737.4"/>
    <x v="0"/>
    <x v="0"/>
    <x v="1"/>
    <n v="52848.11"/>
    <x v="0"/>
  </r>
  <r>
    <n v="3"/>
    <s v="Jones"/>
    <n v="519"/>
    <x v="0"/>
    <x v="0"/>
    <n v="69"/>
    <x v="2"/>
    <n v="146780.5"/>
    <x v="0"/>
    <x v="1"/>
    <x v="0"/>
    <n v="94395.02"/>
    <x v="0"/>
  </r>
  <r>
    <n v="4"/>
    <s v="Jones"/>
    <n v="516"/>
    <x v="0"/>
    <x v="1"/>
    <n v="59"/>
    <x v="3"/>
    <n v="23572.03"/>
    <x v="1"/>
    <x v="0"/>
    <x v="0"/>
    <n v="146739.54999999999"/>
    <x v="0"/>
  </r>
  <r>
    <n v="5"/>
    <s v="Wilson"/>
    <n v="659"/>
    <x v="1"/>
    <x v="1"/>
    <n v="21"/>
    <x v="4"/>
    <n v="7463.43"/>
    <x v="1"/>
    <x v="0"/>
    <x v="1"/>
    <n v="16036.55"/>
    <x v="0"/>
  </r>
  <r>
    <n v="6"/>
    <s v="Taylor"/>
    <n v="777"/>
    <x v="1"/>
    <x v="1"/>
    <n v="34"/>
    <x v="3"/>
    <n v="127812.9"/>
    <x v="2"/>
    <x v="0"/>
    <x v="0"/>
    <n v="65189.1"/>
    <x v="0"/>
  </r>
  <r>
    <n v="7"/>
    <s v="Jones"/>
    <n v="432"/>
    <x v="0"/>
    <x v="1"/>
    <n v="81"/>
    <x v="5"/>
    <n v="136164.96"/>
    <x v="2"/>
    <x v="1"/>
    <x v="0"/>
    <n v="135962.88"/>
    <x v="0"/>
  </r>
  <r>
    <n v="8"/>
    <s v="Davis"/>
    <n v="741"/>
    <x v="2"/>
    <x v="0"/>
    <n v="82"/>
    <x v="6"/>
    <n v="204042.02"/>
    <x v="3"/>
    <x v="0"/>
    <x v="1"/>
    <n v="92581.54"/>
    <x v="1"/>
  </r>
  <r>
    <n v="9"/>
    <s v="Williams"/>
    <n v="570"/>
    <x v="0"/>
    <x v="1"/>
    <n v="31"/>
    <x v="7"/>
    <n v="182609.21"/>
    <x v="3"/>
    <x v="1"/>
    <x v="1"/>
    <n v="141848.51"/>
    <x v="1"/>
  </r>
  <r>
    <n v="10"/>
    <s v="Brown"/>
    <n v="671"/>
    <x v="2"/>
    <x v="1"/>
    <n v="56"/>
    <x v="0"/>
    <n v="56345.73"/>
    <x v="3"/>
    <x v="1"/>
    <x v="0"/>
    <n v="143065.1"/>
    <x v="1"/>
  </r>
  <r>
    <n v="11"/>
    <s v="Wilson"/>
    <n v="519"/>
    <x v="2"/>
    <x v="1"/>
    <n v="22"/>
    <x v="5"/>
    <n v="198399.26"/>
    <x v="0"/>
    <x v="0"/>
    <x v="0"/>
    <n v="125839.96"/>
    <x v="1"/>
  </r>
  <r>
    <n v="12"/>
    <s v="Miller"/>
    <n v="672"/>
    <x v="0"/>
    <x v="0"/>
    <n v="21"/>
    <x v="1"/>
    <n v="157278.91"/>
    <x v="0"/>
    <x v="1"/>
    <x v="0"/>
    <n v="58708.71"/>
    <x v="1"/>
  </r>
  <r>
    <n v="13"/>
    <s v="Moore"/>
    <n v="464"/>
    <x v="1"/>
    <x v="1"/>
    <n v="37"/>
    <x v="4"/>
    <n v="58317.75"/>
    <x v="0"/>
    <x v="1"/>
    <x v="0"/>
    <n v="13740.96"/>
    <x v="0"/>
  </r>
  <r>
    <n v="14"/>
    <s v="Moore"/>
    <n v="698"/>
    <x v="0"/>
    <x v="0"/>
    <n v="34"/>
    <x v="1"/>
    <n v="128968.35"/>
    <x v="1"/>
    <x v="1"/>
    <x v="0"/>
    <n v="143532.82"/>
    <x v="1"/>
  </r>
  <r>
    <n v="15"/>
    <s v="Johnson"/>
    <n v="684"/>
    <x v="0"/>
    <x v="0"/>
    <n v="89"/>
    <x v="4"/>
    <n v="60006.91"/>
    <x v="3"/>
    <x v="0"/>
    <x v="0"/>
    <n v="38571.279999999999"/>
    <x v="0"/>
  </r>
  <r>
    <n v="16"/>
    <s v="Miller"/>
    <n v="579"/>
    <x v="2"/>
    <x v="1"/>
    <n v="42"/>
    <x v="1"/>
    <n v="180430.72"/>
    <x v="2"/>
    <x v="1"/>
    <x v="1"/>
    <n v="43961.45"/>
    <x v="1"/>
  </r>
  <r>
    <n v="17"/>
    <s v="Wilson"/>
    <n v="569"/>
    <x v="0"/>
    <x v="0"/>
    <n v="29"/>
    <x v="0"/>
    <n v="75466.39"/>
    <x v="1"/>
    <x v="1"/>
    <x v="0"/>
    <n v="103226.64"/>
    <x v="1"/>
  </r>
  <r>
    <n v="18"/>
    <s v="Wilson"/>
    <n v="596"/>
    <x v="1"/>
    <x v="0"/>
    <n v="40"/>
    <x v="0"/>
    <n v="124186.11"/>
    <x v="0"/>
    <x v="0"/>
    <x v="1"/>
    <n v="108305.55"/>
    <x v="0"/>
  </r>
  <r>
    <n v="19"/>
    <s v="Moore"/>
    <n v="450"/>
    <x v="0"/>
    <x v="1"/>
    <n v="78"/>
    <x v="7"/>
    <n v="224549.07"/>
    <x v="2"/>
    <x v="1"/>
    <x v="1"/>
    <n v="144262.57"/>
    <x v="1"/>
  </r>
  <r>
    <n v="20"/>
    <s v="Johnson"/>
    <n v="765"/>
    <x v="0"/>
    <x v="1"/>
    <n v="20"/>
    <x v="8"/>
    <n v="246840.35"/>
    <x v="3"/>
    <x v="1"/>
    <x v="0"/>
    <n v="93337.31"/>
    <x v="0"/>
  </r>
  <r>
    <n v="21"/>
    <s v="Davis"/>
    <n v="571"/>
    <x v="2"/>
    <x v="0"/>
    <n v="26"/>
    <x v="2"/>
    <n v="239474.66"/>
    <x v="1"/>
    <x v="1"/>
    <x v="1"/>
    <n v="71646.19"/>
    <x v="1"/>
  </r>
  <r>
    <n v="22"/>
    <s v="Taylor"/>
    <n v="528"/>
    <x v="1"/>
    <x v="1"/>
    <n v="90"/>
    <x v="5"/>
    <n v="192616.6"/>
    <x v="2"/>
    <x v="0"/>
    <x v="0"/>
    <n v="27413.39"/>
    <x v="0"/>
  </r>
  <r>
    <n v="23"/>
    <s v="Moore"/>
    <n v="524"/>
    <x v="1"/>
    <x v="0"/>
    <n v="56"/>
    <x v="0"/>
    <n v="34050.82"/>
    <x v="2"/>
    <x v="1"/>
    <x v="1"/>
    <n v="130037.45"/>
    <x v="1"/>
  </r>
  <r>
    <n v="24"/>
    <s v="Taylor"/>
    <n v="443"/>
    <x v="2"/>
    <x v="1"/>
    <n v="70"/>
    <x v="3"/>
    <n v="116986.77"/>
    <x v="3"/>
    <x v="1"/>
    <x v="0"/>
    <n v="16197.08"/>
    <x v="0"/>
  </r>
  <r>
    <n v="25"/>
    <s v="Brown"/>
    <n v="464"/>
    <x v="1"/>
    <x v="1"/>
    <n v="81"/>
    <x v="3"/>
    <n v="242071.38"/>
    <x v="3"/>
    <x v="1"/>
    <x v="0"/>
    <n v="129312.08"/>
    <x v="0"/>
  </r>
  <r>
    <n v="26"/>
    <s v="Jones"/>
    <n v="511"/>
    <x v="1"/>
    <x v="1"/>
    <n v="39"/>
    <x v="2"/>
    <n v="88252.4"/>
    <x v="3"/>
    <x v="0"/>
    <x v="1"/>
    <n v="57083.95"/>
    <x v="0"/>
  </r>
  <r>
    <n v="27"/>
    <s v="Smith"/>
    <n v="618"/>
    <x v="0"/>
    <x v="0"/>
    <n v="22"/>
    <x v="8"/>
    <n v="39874.14"/>
    <x v="0"/>
    <x v="0"/>
    <x v="1"/>
    <n v="137124.10999999999"/>
    <x v="1"/>
  </r>
  <r>
    <n v="28"/>
    <s v="Jones"/>
    <n v="574"/>
    <x v="2"/>
    <x v="0"/>
    <n v="49"/>
    <x v="8"/>
    <n v="47828.14"/>
    <x v="0"/>
    <x v="0"/>
    <x v="0"/>
    <n v="129087.2"/>
    <x v="0"/>
  </r>
  <r>
    <n v="29"/>
    <s v="Davis"/>
    <n v="583"/>
    <x v="1"/>
    <x v="0"/>
    <n v="55"/>
    <x v="5"/>
    <n v="137337.07999999999"/>
    <x v="3"/>
    <x v="1"/>
    <x v="1"/>
    <n v="107849.47"/>
    <x v="1"/>
  </r>
  <r>
    <n v="30"/>
    <s v="Smith"/>
    <n v="686"/>
    <x v="2"/>
    <x v="1"/>
    <n v="25"/>
    <x v="6"/>
    <n v="5425.45"/>
    <x v="2"/>
    <x v="0"/>
    <x v="0"/>
    <n v="82076.7"/>
    <x v="1"/>
  </r>
  <r>
    <n v="31"/>
    <s v="Williams"/>
    <n v="416"/>
    <x v="0"/>
    <x v="0"/>
    <n v="40"/>
    <x v="7"/>
    <n v="192565.36"/>
    <x v="0"/>
    <x v="1"/>
    <x v="0"/>
    <n v="106833.18"/>
    <x v="1"/>
  </r>
  <r>
    <n v="32"/>
    <s v="Jones"/>
    <n v="806"/>
    <x v="1"/>
    <x v="1"/>
    <n v="60"/>
    <x v="5"/>
    <n v="98142.26"/>
    <x v="2"/>
    <x v="1"/>
    <x v="1"/>
    <n v="88655.49"/>
    <x v="1"/>
  </r>
  <r>
    <n v="33"/>
    <s v="Moore"/>
    <n v="849"/>
    <x v="2"/>
    <x v="1"/>
    <n v="77"/>
    <x v="4"/>
    <n v="55839.55"/>
    <x v="1"/>
    <x v="0"/>
    <x v="1"/>
    <n v="45305.66"/>
    <x v="1"/>
  </r>
  <r>
    <n v="34"/>
    <s v="Johnson"/>
    <n v="475"/>
    <x v="1"/>
    <x v="0"/>
    <n v="72"/>
    <x v="2"/>
    <n v="72899.17"/>
    <x v="1"/>
    <x v="1"/>
    <x v="0"/>
    <n v="90761.77"/>
    <x v="0"/>
  </r>
  <r>
    <n v="35"/>
    <s v="Jones"/>
    <n v="488"/>
    <x v="2"/>
    <x v="1"/>
    <n v="91"/>
    <x v="9"/>
    <n v="200786.02"/>
    <x v="1"/>
    <x v="1"/>
    <x v="0"/>
    <n v="128936.13"/>
    <x v="1"/>
  </r>
  <r>
    <n v="36"/>
    <s v="Jones"/>
    <n v="462"/>
    <x v="0"/>
    <x v="0"/>
    <n v="69"/>
    <x v="4"/>
    <n v="9295.2900000000009"/>
    <x v="0"/>
    <x v="1"/>
    <x v="0"/>
    <n v="39491.230000000003"/>
    <x v="1"/>
  </r>
  <r>
    <n v="37"/>
    <s v="Jones"/>
    <n v="568"/>
    <x v="0"/>
    <x v="1"/>
    <n v="41"/>
    <x v="5"/>
    <n v="192830.21"/>
    <x v="3"/>
    <x v="1"/>
    <x v="0"/>
    <n v="82076.7"/>
    <x v="0"/>
  </r>
  <r>
    <n v="38"/>
    <s v="Wilson"/>
    <n v="505"/>
    <x v="1"/>
    <x v="0"/>
    <n v="43"/>
    <x v="10"/>
    <n v="190574.23"/>
    <x v="1"/>
    <x v="0"/>
    <x v="0"/>
    <n v="22363.52"/>
    <x v="0"/>
  </r>
  <r>
    <n v="39"/>
    <s v="Smith"/>
    <n v="534"/>
    <x v="1"/>
    <x v="1"/>
    <n v="75"/>
    <x v="10"/>
    <n v="20385.3"/>
    <x v="1"/>
    <x v="1"/>
    <x v="0"/>
    <n v="118972.35"/>
    <x v="1"/>
  </r>
  <r>
    <n v="40"/>
    <s v="Johnson"/>
    <n v="470"/>
    <x v="2"/>
    <x v="1"/>
    <n v="87"/>
    <x v="6"/>
    <n v="207759.1"/>
    <x v="2"/>
    <x v="1"/>
    <x v="0"/>
    <n v="23908.03"/>
    <x v="0"/>
  </r>
  <r>
    <n v="41"/>
    <s v="Taylor"/>
    <n v="671"/>
    <x v="1"/>
    <x v="0"/>
    <n v="63"/>
    <x v="6"/>
    <n v="43010.54"/>
    <x v="0"/>
    <x v="1"/>
    <x v="1"/>
    <n v="82076.7"/>
    <x v="1"/>
  </r>
  <r>
    <n v="42"/>
    <s v="Taylor"/>
    <n v="798"/>
    <x v="0"/>
    <x v="0"/>
    <n v="69"/>
    <x v="9"/>
    <n v="34108.089999999997"/>
    <x v="0"/>
    <x v="1"/>
    <x v="0"/>
    <n v="81519.78"/>
    <x v="0"/>
  </r>
  <r>
    <n v="43"/>
    <s v="Smith"/>
    <n v="547"/>
    <x v="0"/>
    <x v="1"/>
    <n v="77"/>
    <x v="6"/>
    <n v="41600.300000000003"/>
    <x v="2"/>
    <x v="1"/>
    <x v="0"/>
    <n v="48255.32"/>
    <x v="1"/>
  </r>
  <r>
    <n v="44"/>
    <s v="Brown"/>
    <n v="694"/>
    <x v="0"/>
    <x v="0"/>
    <n v="62"/>
    <x v="10"/>
    <n v="689.5"/>
    <x v="0"/>
    <x v="1"/>
    <x v="0"/>
    <n v="19803.7"/>
    <x v="0"/>
  </r>
  <r>
    <n v="45"/>
    <s v="Wilson"/>
    <n v="640"/>
    <x v="1"/>
    <x v="1"/>
    <n v="44"/>
    <x v="7"/>
    <n v="133364.17000000001"/>
    <x v="2"/>
    <x v="0"/>
    <x v="0"/>
    <n v="124490.71"/>
    <x v="0"/>
  </r>
  <r>
    <n v="46"/>
    <s v="Jones"/>
    <n v="813"/>
    <x v="2"/>
    <x v="1"/>
    <n v="61"/>
    <x v="10"/>
    <n v="92243.96"/>
    <x v="3"/>
    <x v="1"/>
    <x v="1"/>
    <n v="64920.41"/>
    <x v="1"/>
  </r>
  <r>
    <n v="47"/>
    <s v="Williams"/>
    <n v="353"/>
    <x v="0"/>
    <x v="1"/>
    <n v="50"/>
    <x v="8"/>
    <n v="35813.31"/>
    <x v="2"/>
    <x v="1"/>
    <x v="0"/>
    <n v="133876.07999999999"/>
    <x v="0"/>
  </r>
  <r>
    <n v="48"/>
    <s v="Wilson"/>
    <n v="538"/>
    <x v="0"/>
    <x v="1"/>
    <n v="48"/>
    <x v="2"/>
    <n v="217182.14"/>
    <x v="3"/>
    <x v="1"/>
    <x v="1"/>
    <n v="110877.22"/>
    <x v="1"/>
  </r>
  <r>
    <n v="49"/>
    <s v="Williams"/>
    <n v="588"/>
    <x v="1"/>
    <x v="1"/>
    <n v="32"/>
    <x v="10"/>
    <n v="126550.42"/>
    <x v="0"/>
    <x v="1"/>
    <x v="1"/>
    <n v="21781.599999999999"/>
    <x v="1"/>
  </r>
  <r>
    <n v="50"/>
    <s v="Smith"/>
    <n v="515"/>
    <x v="1"/>
    <x v="0"/>
    <n v="89"/>
    <x v="5"/>
    <n v="87177.02"/>
    <x v="1"/>
    <x v="0"/>
    <x v="1"/>
    <n v="118097.5"/>
    <x v="0"/>
  </r>
  <r>
    <n v="51"/>
    <s v="Smith"/>
    <n v="521"/>
    <x v="1"/>
    <x v="0"/>
    <n v="79"/>
    <x v="9"/>
    <n v="133180.14000000001"/>
    <x v="0"/>
    <x v="0"/>
    <x v="1"/>
    <n v="125168.23"/>
    <x v="1"/>
  </r>
  <r>
    <n v="52"/>
    <s v="Brown"/>
    <n v="561"/>
    <x v="1"/>
    <x v="0"/>
    <n v="19"/>
    <x v="5"/>
    <n v="202302.98"/>
    <x v="1"/>
    <x v="0"/>
    <x v="1"/>
    <n v="24025.919999999998"/>
    <x v="0"/>
  </r>
  <r>
    <n v="53"/>
    <s v="Davis"/>
    <n v="694"/>
    <x v="2"/>
    <x v="1"/>
    <n v="65"/>
    <x v="3"/>
    <n v="42733.7"/>
    <x v="0"/>
    <x v="1"/>
    <x v="1"/>
    <n v="103834.77"/>
    <x v="0"/>
  </r>
  <r>
    <n v="54"/>
    <s v="Davis"/>
    <n v="420"/>
    <x v="1"/>
    <x v="0"/>
    <n v="61"/>
    <x v="6"/>
    <n v="216419.15"/>
    <x v="2"/>
    <x v="0"/>
    <x v="1"/>
    <n v="40937.339999999997"/>
    <x v="1"/>
  </r>
  <r>
    <n v="55"/>
    <s v="Miller"/>
    <n v="498"/>
    <x v="2"/>
    <x v="0"/>
    <n v="33"/>
    <x v="2"/>
    <n v="146361.20000000001"/>
    <x v="2"/>
    <x v="1"/>
    <x v="1"/>
    <n v="56949.24"/>
    <x v="0"/>
  </r>
  <r>
    <n v="56"/>
    <s v="Moore"/>
    <n v="740"/>
    <x v="2"/>
    <x v="0"/>
    <n v="86"/>
    <x v="3"/>
    <n v="153882.97"/>
    <x v="3"/>
    <x v="1"/>
    <x v="1"/>
    <n v="29656.959999999999"/>
    <x v="1"/>
  </r>
  <r>
    <n v="57"/>
    <s v="Brown"/>
    <n v="634"/>
    <x v="0"/>
    <x v="1"/>
    <n v="57"/>
    <x v="2"/>
    <n v="147135.54"/>
    <x v="2"/>
    <x v="0"/>
    <x v="0"/>
    <n v="16131.69"/>
    <x v="1"/>
  </r>
  <r>
    <n v="58"/>
    <s v="Johnson"/>
    <n v="465"/>
    <x v="0"/>
    <x v="0"/>
    <n v="18"/>
    <x v="3"/>
    <n v="55329.78"/>
    <x v="1"/>
    <x v="1"/>
    <x v="0"/>
    <n v="130050.9"/>
    <x v="1"/>
  </r>
  <r>
    <n v="59"/>
    <s v="Brown"/>
    <n v="740"/>
    <x v="1"/>
    <x v="0"/>
    <n v="76"/>
    <x v="2"/>
    <n v="46184.63"/>
    <x v="2"/>
    <x v="1"/>
    <x v="1"/>
    <n v="140603.54"/>
    <x v="0"/>
  </r>
  <r>
    <n v="60"/>
    <s v="Taylor"/>
    <n v="672"/>
    <x v="0"/>
    <x v="0"/>
    <n v="30"/>
    <x v="0"/>
    <n v="119338.08"/>
    <x v="3"/>
    <x v="1"/>
    <x v="1"/>
    <n v="111048.16"/>
    <x v="1"/>
  </r>
  <r>
    <n v="61"/>
    <s v="Moore"/>
    <n v="442"/>
    <x v="2"/>
    <x v="1"/>
    <n v="61"/>
    <x v="7"/>
    <n v="89085.68"/>
    <x v="1"/>
    <x v="0"/>
    <x v="1"/>
    <n v="33012.78"/>
    <x v="0"/>
  </r>
  <r>
    <n v="62"/>
    <s v="Johnson"/>
    <n v="826"/>
    <x v="1"/>
    <x v="0"/>
    <n v="72"/>
    <x v="7"/>
    <n v="60209.09"/>
    <x v="1"/>
    <x v="1"/>
    <x v="0"/>
    <n v="10127.81"/>
    <x v="1"/>
  </r>
  <r>
    <n v="63"/>
    <s v="Johnson"/>
    <n v="452"/>
    <x v="1"/>
    <x v="1"/>
    <n v="65"/>
    <x v="6"/>
    <n v="145317.32"/>
    <x v="0"/>
    <x v="1"/>
    <x v="0"/>
    <n v="60885.4"/>
    <x v="1"/>
  </r>
  <r>
    <n v="64"/>
    <s v="Wilson"/>
    <n v="707"/>
    <x v="1"/>
    <x v="1"/>
    <n v="40"/>
    <x v="3"/>
    <n v="214046.15"/>
    <x v="1"/>
    <x v="1"/>
    <x v="1"/>
    <n v="86343.96"/>
    <x v="0"/>
  </r>
  <r>
    <n v="65"/>
    <s v="Taylor"/>
    <n v="729"/>
    <x v="1"/>
    <x v="0"/>
    <n v="49"/>
    <x v="2"/>
    <n v="139224.43"/>
    <x v="2"/>
    <x v="0"/>
    <x v="1"/>
    <n v="68374.880000000005"/>
    <x v="1"/>
  </r>
  <r>
    <n v="66"/>
    <s v="Taylor"/>
    <n v="547"/>
    <x v="0"/>
    <x v="1"/>
    <n v="52"/>
    <x v="8"/>
    <n v="226630.81"/>
    <x v="0"/>
    <x v="1"/>
    <x v="0"/>
    <n v="103458.26"/>
    <x v="0"/>
  </r>
  <r>
    <n v="67"/>
    <s v="Jones"/>
    <n v="459"/>
    <x v="1"/>
    <x v="0"/>
    <n v="60"/>
    <x v="5"/>
    <n v="179198.75"/>
    <x v="3"/>
    <x v="0"/>
    <x v="1"/>
    <n v="48970.879999999997"/>
    <x v="1"/>
  </r>
  <r>
    <n v="68"/>
    <s v="Miller"/>
    <n v="679"/>
    <x v="2"/>
    <x v="1"/>
    <n v="86"/>
    <x v="8"/>
    <n v="225109.32"/>
    <x v="0"/>
    <x v="0"/>
    <x v="0"/>
    <n v="50593.37"/>
    <x v="0"/>
  </r>
  <r>
    <n v="69"/>
    <s v="Wilson"/>
    <n v="450"/>
    <x v="1"/>
    <x v="0"/>
    <n v="80"/>
    <x v="8"/>
    <n v="128388.87"/>
    <x v="3"/>
    <x v="1"/>
    <x v="0"/>
    <n v="10848.47"/>
    <x v="0"/>
  </r>
  <r>
    <n v="70"/>
    <s v="Williams"/>
    <n v="532"/>
    <x v="0"/>
    <x v="0"/>
    <n v="54"/>
    <x v="0"/>
    <n v="146834.15"/>
    <x v="3"/>
    <x v="0"/>
    <x v="1"/>
    <n v="99812.42"/>
    <x v="1"/>
  </r>
  <r>
    <n v="71"/>
    <s v="Smith"/>
    <n v="683"/>
    <x v="2"/>
    <x v="1"/>
    <n v="62"/>
    <x v="4"/>
    <n v="88669.440000000002"/>
    <x v="0"/>
    <x v="0"/>
    <x v="0"/>
    <n v="128437.74"/>
    <x v="1"/>
  </r>
  <r>
    <n v="72"/>
    <s v="Jones"/>
    <n v="755"/>
    <x v="0"/>
    <x v="0"/>
    <n v="88"/>
    <x v="7"/>
    <n v="185926.28"/>
    <x v="1"/>
    <x v="0"/>
    <x v="0"/>
    <n v="138274.03"/>
    <x v="1"/>
  </r>
  <r>
    <n v="73"/>
    <s v="Davis"/>
    <n v="509"/>
    <x v="0"/>
    <x v="1"/>
    <n v="24"/>
    <x v="8"/>
    <n v="112469.92"/>
    <x v="2"/>
    <x v="1"/>
    <x v="0"/>
    <n v="92201.91"/>
    <x v="0"/>
  </r>
  <r>
    <n v="74"/>
    <s v="Taylor"/>
    <n v="431"/>
    <x v="0"/>
    <x v="0"/>
    <n v="66"/>
    <x v="10"/>
    <n v="103045.29"/>
    <x v="3"/>
    <x v="0"/>
    <x v="0"/>
    <n v="36831.440000000002"/>
    <x v="0"/>
  </r>
  <r>
    <n v="75"/>
    <s v="Brown"/>
    <n v="385"/>
    <x v="0"/>
    <x v="1"/>
    <n v="27"/>
    <x v="9"/>
    <n v="35744.699999999997"/>
    <x v="1"/>
    <x v="1"/>
    <x v="1"/>
    <n v="67445.009999999995"/>
    <x v="0"/>
  </r>
  <r>
    <n v="76"/>
    <s v="Brown"/>
    <n v="587"/>
    <x v="1"/>
    <x v="1"/>
    <n v="46"/>
    <x v="8"/>
    <n v="88638.62"/>
    <x v="3"/>
    <x v="0"/>
    <x v="0"/>
    <n v="60075.81"/>
    <x v="0"/>
  </r>
  <r>
    <n v="77"/>
    <s v="Miller"/>
    <n v="593"/>
    <x v="0"/>
    <x v="1"/>
    <n v="74"/>
    <x v="8"/>
    <n v="166950.85999999999"/>
    <x v="2"/>
    <x v="0"/>
    <x v="1"/>
    <n v="18020.810000000001"/>
    <x v="0"/>
  </r>
  <r>
    <n v="78"/>
    <s v="Brown"/>
    <n v="600"/>
    <x v="1"/>
    <x v="1"/>
    <n v="27"/>
    <x v="0"/>
    <n v="127193.14"/>
    <x v="3"/>
    <x v="1"/>
    <x v="0"/>
    <n v="11971.58"/>
    <x v="0"/>
  </r>
  <r>
    <n v="79"/>
    <s v="Brown"/>
    <n v="742"/>
    <x v="1"/>
    <x v="1"/>
    <n v="84"/>
    <x v="3"/>
    <n v="129782.98"/>
    <x v="3"/>
    <x v="0"/>
    <x v="1"/>
    <n v="53475.839999999997"/>
    <x v="0"/>
  </r>
  <r>
    <n v="80"/>
    <s v="Jones"/>
    <n v="604"/>
    <x v="0"/>
    <x v="0"/>
    <n v="27"/>
    <x v="0"/>
    <n v="162041.47"/>
    <x v="0"/>
    <x v="0"/>
    <x v="0"/>
    <n v="109301.93"/>
    <x v="1"/>
  </r>
  <r>
    <n v="81"/>
    <s v="Brown"/>
    <n v="631"/>
    <x v="2"/>
    <x v="0"/>
    <n v="54"/>
    <x v="5"/>
    <n v="68959.39"/>
    <x v="0"/>
    <x v="1"/>
    <x v="0"/>
    <n v="101131.11"/>
    <x v="0"/>
  </r>
  <r>
    <n v="82"/>
    <s v="Brown"/>
    <n v="371"/>
    <x v="0"/>
    <x v="1"/>
    <n v="46"/>
    <x v="9"/>
    <n v="55186.57"/>
    <x v="3"/>
    <x v="0"/>
    <x v="0"/>
    <n v="117137.04"/>
    <x v="0"/>
  </r>
  <r>
    <n v="83"/>
    <s v="Moore"/>
    <n v="779"/>
    <x v="0"/>
    <x v="0"/>
    <n v="82"/>
    <x v="10"/>
    <n v="241939.64"/>
    <x v="2"/>
    <x v="0"/>
    <x v="1"/>
    <n v="132532.96"/>
    <x v="1"/>
  </r>
  <r>
    <n v="84"/>
    <s v="Brown"/>
    <n v="579"/>
    <x v="1"/>
    <x v="0"/>
    <n v="31"/>
    <x v="10"/>
    <n v="34457.83"/>
    <x v="0"/>
    <x v="0"/>
    <x v="1"/>
    <n v="142833.29999999999"/>
    <x v="1"/>
  </r>
  <r>
    <n v="85"/>
    <s v="Jones"/>
    <n v="820"/>
    <x v="1"/>
    <x v="1"/>
    <n v="20"/>
    <x v="5"/>
    <n v="20249.55"/>
    <x v="0"/>
    <x v="1"/>
    <x v="0"/>
    <n v="121737.08"/>
    <x v="0"/>
  </r>
  <r>
    <n v="86"/>
    <s v="Wilson"/>
    <n v="750"/>
    <x v="1"/>
    <x v="1"/>
    <n v="55"/>
    <x v="6"/>
    <n v="175912.59"/>
    <x v="3"/>
    <x v="0"/>
    <x v="1"/>
    <n v="15679.54"/>
    <x v="0"/>
  </r>
  <r>
    <n v="87"/>
    <s v="Davis"/>
    <n v="503"/>
    <x v="1"/>
    <x v="1"/>
    <n v="89"/>
    <x v="4"/>
    <n v="161781.32999999999"/>
    <x v="3"/>
    <x v="1"/>
    <x v="0"/>
    <n v="145603.81"/>
    <x v="1"/>
  </r>
  <r>
    <n v="88"/>
    <s v="Davis"/>
    <n v="844"/>
    <x v="0"/>
    <x v="1"/>
    <n v="21"/>
    <x v="2"/>
    <n v="92743.31"/>
    <x v="2"/>
    <x v="1"/>
    <x v="0"/>
    <n v="54061.89"/>
    <x v="0"/>
  </r>
  <r>
    <n v="89"/>
    <s v="Smith"/>
    <n v="469"/>
    <x v="2"/>
    <x v="0"/>
    <n v="68"/>
    <x v="10"/>
    <n v="19196.560000000001"/>
    <x v="0"/>
    <x v="0"/>
    <x v="0"/>
    <n v="133731.54999999999"/>
    <x v="1"/>
  </r>
  <r>
    <n v="90"/>
    <s v="Johnson"/>
    <n v="515"/>
    <x v="2"/>
    <x v="0"/>
    <n v="79"/>
    <x v="6"/>
    <n v="69882.490000000005"/>
    <x v="0"/>
    <x v="0"/>
    <x v="0"/>
    <n v="28817.75"/>
    <x v="1"/>
  </r>
  <r>
    <n v="91"/>
    <s v="Davis"/>
    <n v="733"/>
    <x v="2"/>
    <x v="1"/>
    <n v="46"/>
    <x v="2"/>
    <n v="15556.14"/>
    <x v="3"/>
    <x v="0"/>
    <x v="1"/>
    <n v="101797.2"/>
    <x v="0"/>
  </r>
  <r>
    <n v="92"/>
    <s v="Taylor"/>
    <n v="735"/>
    <x v="2"/>
    <x v="0"/>
    <n v="53"/>
    <x v="5"/>
    <n v="247280.33"/>
    <x v="0"/>
    <x v="0"/>
    <x v="0"/>
    <n v="54977.06"/>
    <x v="0"/>
  </r>
  <r>
    <n v="93"/>
    <s v="Jones"/>
    <n v="739"/>
    <x v="1"/>
    <x v="0"/>
    <n v="71"/>
    <x v="6"/>
    <n v="173851.84"/>
    <x v="3"/>
    <x v="0"/>
    <x v="1"/>
    <n v="121172.65"/>
    <x v="1"/>
  </r>
  <r>
    <n v="94"/>
    <s v="Smith"/>
    <n v="548"/>
    <x v="0"/>
    <x v="1"/>
    <n v="44"/>
    <x v="1"/>
    <n v="107973.28"/>
    <x v="1"/>
    <x v="1"/>
    <x v="0"/>
    <n v="27995.72"/>
    <x v="0"/>
  </r>
  <r>
    <n v="95"/>
    <s v="Davis"/>
    <n v="746"/>
    <x v="1"/>
    <x v="0"/>
    <n v="60"/>
    <x v="5"/>
    <n v="229932.49"/>
    <x v="3"/>
    <x v="0"/>
    <x v="0"/>
    <n v="81112.42"/>
    <x v="0"/>
  </r>
  <r>
    <n v="96"/>
    <s v="Smith"/>
    <n v="696"/>
    <x v="1"/>
    <x v="0"/>
    <n v="64"/>
    <x v="1"/>
    <n v="141361.44"/>
    <x v="3"/>
    <x v="0"/>
    <x v="1"/>
    <n v="147488.24"/>
    <x v="1"/>
  </r>
  <r>
    <n v="97"/>
    <s v="Johnson"/>
    <n v="424"/>
    <x v="0"/>
    <x v="1"/>
    <n v="87"/>
    <x v="5"/>
    <n v="177818.74"/>
    <x v="3"/>
    <x v="1"/>
    <x v="1"/>
    <n v="111587.44"/>
    <x v="1"/>
  </r>
  <r>
    <n v="98"/>
    <s v="Williams"/>
    <n v="788"/>
    <x v="0"/>
    <x v="0"/>
    <n v="46"/>
    <x v="3"/>
    <n v="126692.44"/>
    <x v="1"/>
    <x v="0"/>
    <x v="1"/>
    <n v="27793.35"/>
    <x v="0"/>
  </r>
  <r>
    <n v="99"/>
    <s v="Brown"/>
    <n v="428"/>
    <x v="0"/>
    <x v="0"/>
    <n v="61"/>
    <x v="1"/>
    <n v="206619.49"/>
    <x v="3"/>
    <x v="1"/>
    <x v="0"/>
    <n v="102150.42"/>
    <x v="0"/>
  </r>
  <r>
    <n v="100"/>
    <s v="Williams"/>
    <n v="668"/>
    <x v="1"/>
    <x v="0"/>
    <n v="80"/>
    <x v="8"/>
    <n v="245611.62"/>
    <x v="3"/>
    <x v="0"/>
    <x v="0"/>
    <n v="103995.53"/>
    <x v="1"/>
  </r>
  <r>
    <n v="101"/>
    <s v="Smith"/>
    <n v="422"/>
    <x v="2"/>
    <x v="1"/>
    <n v="27"/>
    <x v="7"/>
    <n v="103031.97"/>
    <x v="3"/>
    <x v="1"/>
    <x v="0"/>
    <n v="125609.39"/>
    <x v="1"/>
  </r>
  <r>
    <n v="102"/>
    <s v="Jones"/>
    <n v="549"/>
    <x v="1"/>
    <x v="1"/>
    <n v="56"/>
    <x v="3"/>
    <n v="36824.33"/>
    <x v="1"/>
    <x v="1"/>
    <x v="1"/>
    <n v="51542.45"/>
    <x v="0"/>
  </r>
  <r>
    <n v="103"/>
    <s v="Williams"/>
    <n v="651"/>
    <x v="1"/>
    <x v="0"/>
    <n v="49"/>
    <x v="5"/>
    <n v="100461.13"/>
    <x v="1"/>
    <x v="1"/>
    <x v="0"/>
    <n v="30554.85"/>
    <x v="0"/>
  </r>
  <r>
    <n v="104"/>
    <s v="Smith"/>
    <n v="483"/>
    <x v="0"/>
    <x v="1"/>
    <n v="40"/>
    <x v="10"/>
    <n v="199427.98"/>
    <x v="2"/>
    <x v="0"/>
    <x v="1"/>
    <n v="128540.03"/>
    <x v="1"/>
  </r>
  <r>
    <n v="105"/>
    <s v="Wilson"/>
    <n v="397"/>
    <x v="1"/>
    <x v="0"/>
    <n v="75"/>
    <x v="10"/>
    <n v="46.68"/>
    <x v="0"/>
    <x v="0"/>
    <x v="0"/>
    <n v="61080.02"/>
    <x v="1"/>
  </r>
  <r>
    <n v="106"/>
    <s v="Davis"/>
    <n v="537"/>
    <x v="2"/>
    <x v="1"/>
    <n v="39"/>
    <x v="1"/>
    <n v="238648.7"/>
    <x v="1"/>
    <x v="0"/>
    <x v="1"/>
    <n v="71498.5"/>
    <x v="1"/>
  </r>
  <r>
    <n v="107"/>
    <s v="Taylor"/>
    <n v="520"/>
    <x v="2"/>
    <x v="0"/>
    <n v="79"/>
    <x v="10"/>
    <n v="165628.62"/>
    <x v="3"/>
    <x v="1"/>
    <x v="0"/>
    <n v="144375.79999999999"/>
    <x v="1"/>
  </r>
  <r>
    <n v="108"/>
    <s v="Smith"/>
    <n v="801"/>
    <x v="1"/>
    <x v="1"/>
    <n v="59"/>
    <x v="5"/>
    <n v="77661.960000000006"/>
    <x v="3"/>
    <x v="1"/>
    <x v="0"/>
    <n v="74188.759999999995"/>
    <x v="0"/>
  </r>
  <r>
    <n v="109"/>
    <s v="Williams"/>
    <n v="488"/>
    <x v="0"/>
    <x v="0"/>
    <n v="59"/>
    <x v="1"/>
    <n v="122455.34"/>
    <x v="2"/>
    <x v="1"/>
    <x v="1"/>
    <n v="21425.94"/>
    <x v="1"/>
  </r>
  <r>
    <n v="110"/>
    <s v="Wilson"/>
    <n v="592"/>
    <x v="1"/>
    <x v="0"/>
    <n v="41"/>
    <x v="8"/>
    <n v="66018.19"/>
    <x v="0"/>
    <x v="1"/>
    <x v="0"/>
    <n v="102543.92"/>
    <x v="0"/>
  </r>
  <r>
    <n v="111"/>
    <s v="Williams"/>
    <n v="663"/>
    <x v="2"/>
    <x v="1"/>
    <n v="70"/>
    <x v="2"/>
    <n v="108982.82"/>
    <x v="2"/>
    <x v="1"/>
    <x v="0"/>
    <n v="110349.05"/>
    <x v="1"/>
  </r>
  <r>
    <n v="112"/>
    <s v="Taylor"/>
    <n v="825"/>
    <x v="2"/>
    <x v="0"/>
    <n v="41"/>
    <x v="6"/>
    <n v="159554.78"/>
    <x v="0"/>
    <x v="1"/>
    <x v="1"/>
    <n v="75419.12"/>
    <x v="0"/>
  </r>
  <r>
    <n v="113"/>
    <s v="Williams"/>
    <n v="695"/>
    <x v="1"/>
    <x v="0"/>
    <n v="90"/>
    <x v="0"/>
    <n v="168519.32"/>
    <x v="3"/>
    <x v="0"/>
    <x v="0"/>
    <n v="108422.12"/>
    <x v="0"/>
  </r>
  <r>
    <n v="114"/>
    <s v="Jones"/>
    <n v="737"/>
    <x v="2"/>
    <x v="1"/>
    <n v="59"/>
    <x v="7"/>
    <n v="80693.34"/>
    <x v="2"/>
    <x v="1"/>
    <x v="1"/>
    <n v="65451.93"/>
    <x v="0"/>
  </r>
  <r>
    <n v="115"/>
    <s v="Jones"/>
    <n v="475"/>
    <x v="1"/>
    <x v="1"/>
    <n v="78"/>
    <x v="6"/>
    <n v="5741.56"/>
    <x v="0"/>
    <x v="1"/>
    <x v="1"/>
    <n v="136090.56"/>
    <x v="0"/>
  </r>
  <r>
    <n v="116"/>
    <s v="Williams"/>
    <n v="556"/>
    <x v="2"/>
    <x v="0"/>
    <n v="65"/>
    <x v="0"/>
    <n v="94298.58"/>
    <x v="1"/>
    <x v="0"/>
    <x v="0"/>
    <n v="117883.52"/>
    <x v="1"/>
  </r>
  <r>
    <n v="117"/>
    <s v="Jones"/>
    <n v="688"/>
    <x v="0"/>
    <x v="0"/>
    <n v="33"/>
    <x v="2"/>
    <n v="93844.5"/>
    <x v="2"/>
    <x v="0"/>
    <x v="0"/>
    <n v="49103.38"/>
    <x v="1"/>
  </r>
  <r>
    <n v="118"/>
    <s v="Brown"/>
    <n v="547"/>
    <x v="2"/>
    <x v="0"/>
    <n v="54"/>
    <x v="2"/>
    <n v="103006.1"/>
    <x v="3"/>
    <x v="0"/>
    <x v="1"/>
    <n v="76101.240000000005"/>
    <x v="1"/>
  </r>
  <r>
    <n v="119"/>
    <s v="Johnson"/>
    <n v="536"/>
    <x v="1"/>
    <x v="1"/>
    <n v="83"/>
    <x v="2"/>
    <n v="241431.37"/>
    <x v="2"/>
    <x v="0"/>
    <x v="1"/>
    <n v="111107.96"/>
    <x v="0"/>
  </r>
  <r>
    <n v="120"/>
    <s v="Williams"/>
    <n v="738"/>
    <x v="1"/>
    <x v="1"/>
    <n v="60"/>
    <x v="7"/>
    <n v="242524.24"/>
    <x v="3"/>
    <x v="0"/>
    <x v="0"/>
    <n v="84784.47"/>
    <x v="0"/>
  </r>
  <r>
    <n v="121"/>
    <s v="Taylor"/>
    <n v="367"/>
    <x v="0"/>
    <x v="0"/>
    <n v="18"/>
    <x v="9"/>
    <n v="37178.53"/>
    <x v="1"/>
    <x v="0"/>
    <x v="0"/>
    <n v="82791.570000000007"/>
    <x v="1"/>
  </r>
  <r>
    <n v="122"/>
    <s v="Johnson"/>
    <n v="547"/>
    <x v="2"/>
    <x v="0"/>
    <n v="24"/>
    <x v="8"/>
    <n v="228358.15"/>
    <x v="3"/>
    <x v="1"/>
    <x v="0"/>
    <n v="127955.4"/>
    <x v="1"/>
  </r>
  <r>
    <n v="123"/>
    <s v="Brown"/>
    <n v="797"/>
    <x v="1"/>
    <x v="0"/>
    <n v="85"/>
    <x v="4"/>
    <n v="244614.91"/>
    <x v="3"/>
    <x v="0"/>
    <x v="1"/>
    <n v="101378.44"/>
    <x v="0"/>
  </r>
  <r>
    <n v="124"/>
    <s v="Miller"/>
    <n v="700"/>
    <x v="2"/>
    <x v="0"/>
    <n v="49"/>
    <x v="3"/>
    <n v="64161.88"/>
    <x v="1"/>
    <x v="0"/>
    <x v="1"/>
    <n v="141665.95000000001"/>
    <x v="1"/>
  </r>
  <r>
    <n v="125"/>
    <s v="Moore"/>
    <n v="502"/>
    <x v="0"/>
    <x v="1"/>
    <n v="47"/>
    <x v="4"/>
    <n v="185255.98"/>
    <x v="0"/>
    <x v="1"/>
    <x v="1"/>
    <n v="48022.06"/>
    <x v="1"/>
  </r>
  <r>
    <n v="126"/>
    <s v="Williams"/>
    <n v="481"/>
    <x v="1"/>
    <x v="0"/>
    <n v="34"/>
    <x v="9"/>
    <n v="43863.71"/>
    <x v="3"/>
    <x v="1"/>
    <x v="0"/>
    <n v="23962.59"/>
    <x v="0"/>
  </r>
  <r>
    <n v="127"/>
    <s v="Jones"/>
    <n v="675"/>
    <x v="0"/>
    <x v="0"/>
    <n v="85"/>
    <x v="1"/>
    <n v="117991.41"/>
    <x v="1"/>
    <x v="0"/>
    <x v="1"/>
    <n v="36037.629999999997"/>
    <x v="0"/>
  </r>
  <r>
    <n v="128"/>
    <s v="Smith"/>
    <n v="774"/>
    <x v="1"/>
    <x v="1"/>
    <n v="44"/>
    <x v="0"/>
    <n v="151801.15"/>
    <x v="1"/>
    <x v="1"/>
    <x v="0"/>
    <n v="36575.879999999997"/>
    <x v="1"/>
  </r>
  <r>
    <n v="129"/>
    <s v="Smith"/>
    <n v="514"/>
    <x v="2"/>
    <x v="1"/>
    <n v="24"/>
    <x v="4"/>
    <n v="44897.120000000003"/>
    <x v="0"/>
    <x v="1"/>
    <x v="0"/>
    <n v="87587.83"/>
    <x v="0"/>
  </r>
  <r>
    <n v="130"/>
    <s v="Miller"/>
    <n v="408"/>
    <x v="1"/>
    <x v="1"/>
    <n v="29"/>
    <x v="7"/>
    <n v="136796.01999999999"/>
    <x v="2"/>
    <x v="0"/>
    <x v="0"/>
    <n v="81668.89"/>
    <x v="0"/>
  </r>
  <r>
    <n v="131"/>
    <s v="Smith"/>
    <n v="527"/>
    <x v="0"/>
    <x v="1"/>
    <n v="73"/>
    <x v="8"/>
    <n v="184707.82"/>
    <x v="2"/>
    <x v="1"/>
    <x v="0"/>
    <n v="93162.76"/>
    <x v="0"/>
  </r>
  <r>
    <n v="132"/>
    <s v="Miller"/>
    <n v="789"/>
    <x v="1"/>
    <x v="0"/>
    <n v="61"/>
    <x v="8"/>
    <n v="166854.44"/>
    <x v="2"/>
    <x v="1"/>
    <x v="1"/>
    <n v="38147.910000000003"/>
    <x v="1"/>
  </r>
  <r>
    <n v="133"/>
    <s v="Jones"/>
    <n v="502"/>
    <x v="0"/>
    <x v="0"/>
    <n v="85"/>
    <x v="5"/>
    <n v="157686.62"/>
    <x v="0"/>
    <x v="0"/>
    <x v="0"/>
    <n v="43499.67"/>
    <x v="0"/>
  </r>
  <r>
    <n v="134"/>
    <s v="Jones"/>
    <n v="511"/>
    <x v="1"/>
    <x v="1"/>
    <n v="38"/>
    <x v="8"/>
    <n v="30108.06"/>
    <x v="3"/>
    <x v="0"/>
    <x v="1"/>
    <n v="17973.88"/>
    <x v="1"/>
  </r>
  <r>
    <n v="135"/>
    <s v="Moore"/>
    <n v="752"/>
    <x v="0"/>
    <x v="1"/>
    <n v="32"/>
    <x v="4"/>
    <n v="239097.38"/>
    <x v="1"/>
    <x v="0"/>
    <x v="1"/>
    <n v="13545.02"/>
    <x v="1"/>
  </r>
  <r>
    <n v="136"/>
    <s v="Moore"/>
    <n v="703"/>
    <x v="2"/>
    <x v="0"/>
    <n v="32"/>
    <x v="8"/>
    <n v="35229.26"/>
    <x v="3"/>
    <x v="0"/>
    <x v="0"/>
    <n v="59763.13"/>
    <x v="1"/>
  </r>
  <r>
    <n v="137"/>
    <s v="Moore"/>
    <n v="812"/>
    <x v="1"/>
    <x v="0"/>
    <n v="81"/>
    <x v="9"/>
    <n v="153059.5"/>
    <x v="2"/>
    <x v="1"/>
    <x v="1"/>
    <n v="114484.04"/>
    <x v="1"/>
  </r>
  <r>
    <n v="138"/>
    <s v="Williams"/>
    <n v="591"/>
    <x v="2"/>
    <x v="0"/>
    <n v="61"/>
    <x v="0"/>
    <n v="32382.85"/>
    <x v="2"/>
    <x v="1"/>
    <x v="1"/>
    <n v="108015.6"/>
    <x v="0"/>
  </r>
  <r>
    <n v="139"/>
    <s v="Jones"/>
    <n v="485"/>
    <x v="1"/>
    <x v="1"/>
    <n v="45"/>
    <x v="5"/>
    <n v="134925.82999999999"/>
    <x v="1"/>
    <x v="0"/>
    <x v="0"/>
    <n v="103143.51"/>
    <x v="1"/>
  </r>
  <r>
    <n v="140"/>
    <s v="Williams"/>
    <n v="787"/>
    <x v="1"/>
    <x v="1"/>
    <n v="38"/>
    <x v="10"/>
    <n v="216858.41"/>
    <x v="1"/>
    <x v="1"/>
    <x v="1"/>
    <n v="13005.86"/>
    <x v="0"/>
  </r>
  <r>
    <n v="141"/>
    <s v="Smith"/>
    <n v="585"/>
    <x v="2"/>
    <x v="1"/>
    <n v="41"/>
    <x v="9"/>
    <n v="157571.35999999999"/>
    <x v="3"/>
    <x v="1"/>
    <x v="0"/>
    <n v="142792.82999999999"/>
    <x v="1"/>
  </r>
  <r>
    <n v="142"/>
    <s v="Moore"/>
    <n v="396"/>
    <x v="0"/>
    <x v="0"/>
    <n v="52"/>
    <x v="10"/>
    <n v="227146.67"/>
    <x v="3"/>
    <x v="1"/>
    <x v="0"/>
    <n v="57655.65"/>
    <x v="1"/>
  </r>
  <r>
    <n v="143"/>
    <s v="Moore"/>
    <n v="846"/>
    <x v="2"/>
    <x v="0"/>
    <n v="50"/>
    <x v="6"/>
    <n v="164636.07"/>
    <x v="2"/>
    <x v="0"/>
    <x v="0"/>
    <n v="70775.05"/>
    <x v="0"/>
  </r>
  <r>
    <n v="144"/>
    <s v="Jones"/>
    <n v="477"/>
    <x v="2"/>
    <x v="0"/>
    <n v="83"/>
    <x v="10"/>
    <n v="113849.92"/>
    <x v="1"/>
    <x v="0"/>
    <x v="1"/>
    <n v="122175.46"/>
    <x v="1"/>
  </r>
  <r>
    <n v="145"/>
    <s v="Moore"/>
    <n v="767"/>
    <x v="1"/>
    <x v="1"/>
    <n v="40"/>
    <x v="7"/>
    <n v="116715.57"/>
    <x v="1"/>
    <x v="1"/>
    <x v="0"/>
    <n v="22814.14"/>
    <x v="0"/>
  </r>
  <r>
    <n v="146"/>
    <s v="Williams"/>
    <n v="687"/>
    <x v="0"/>
    <x v="1"/>
    <n v="39"/>
    <x v="9"/>
    <n v="52909.38"/>
    <x v="2"/>
    <x v="1"/>
    <x v="1"/>
    <n v="34759.360000000001"/>
    <x v="0"/>
  </r>
  <r>
    <n v="147"/>
    <s v="Moore"/>
    <n v="507"/>
    <x v="0"/>
    <x v="0"/>
    <n v="75"/>
    <x v="9"/>
    <n v="238465.26"/>
    <x v="2"/>
    <x v="1"/>
    <x v="1"/>
    <n v="55585.67"/>
    <x v="0"/>
  </r>
  <r>
    <n v="148"/>
    <s v="Brown"/>
    <n v="362"/>
    <x v="2"/>
    <x v="0"/>
    <n v="86"/>
    <x v="2"/>
    <n v="77731.5"/>
    <x v="2"/>
    <x v="1"/>
    <x v="1"/>
    <n v="128074.02"/>
    <x v="1"/>
  </r>
  <r>
    <n v="149"/>
    <s v="Jones"/>
    <n v="468"/>
    <x v="2"/>
    <x v="1"/>
    <n v="63"/>
    <x v="3"/>
    <n v="99986.47"/>
    <x v="2"/>
    <x v="0"/>
    <x v="1"/>
    <n v="106009.52"/>
    <x v="1"/>
  </r>
  <r>
    <n v="150"/>
    <s v="Smith"/>
    <n v="652"/>
    <x v="0"/>
    <x v="1"/>
    <n v="57"/>
    <x v="3"/>
    <n v="7447.39"/>
    <x v="3"/>
    <x v="1"/>
    <x v="0"/>
    <n v="60175.22"/>
    <x v="1"/>
  </r>
  <r>
    <n v="151"/>
    <s v="Brown"/>
    <n v="724"/>
    <x v="2"/>
    <x v="1"/>
    <n v="42"/>
    <x v="4"/>
    <n v="97001.53"/>
    <x v="0"/>
    <x v="1"/>
    <x v="0"/>
    <n v="140671.21"/>
    <x v="0"/>
  </r>
  <r>
    <n v="152"/>
    <s v="Jones"/>
    <n v="638"/>
    <x v="1"/>
    <x v="0"/>
    <n v="35"/>
    <x v="1"/>
    <n v="29176.44"/>
    <x v="2"/>
    <x v="0"/>
    <x v="1"/>
    <n v="119718.19"/>
    <x v="0"/>
  </r>
  <r>
    <n v="153"/>
    <s v="Miller"/>
    <n v="640"/>
    <x v="1"/>
    <x v="0"/>
    <n v="70"/>
    <x v="4"/>
    <n v="47856.39"/>
    <x v="1"/>
    <x v="1"/>
    <x v="1"/>
    <n v="11462.63"/>
    <x v="1"/>
  </r>
  <r>
    <n v="154"/>
    <s v="Taylor"/>
    <n v="465"/>
    <x v="2"/>
    <x v="1"/>
    <n v="26"/>
    <x v="7"/>
    <n v="197384.58"/>
    <x v="0"/>
    <x v="1"/>
    <x v="0"/>
    <n v="73040.67"/>
    <x v="1"/>
  </r>
  <r>
    <n v="155"/>
    <s v="Moore"/>
    <n v="437"/>
    <x v="1"/>
    <x v="0"/>
    <n v="23"/>
    <x v="10"/>
    <n v="118047.52"/>
    <x v="2"/>
    <x v="1"/>
    <x v="1"/>
    <n v="69509.759999999995"/>
    <x v="1"/>
  </r>
  <r>
    <n v="156"/>
    <s v="Smith"/>
    <n v="474"/>
    <x v="0"/>
    <x v="1"/>
    <n v="28"/>
    <x v="6"/>
    <n v="209434.77"/>
    <x v="3"/>
    <x v="1"/>
    <x v="0"/>
    <n v="42983.99"/>
    <x v="0"/>
  </r>
  <r>
    <n v="157"/>
    <s v="Moore"/>
    <n v="759"/>
    <x v="2"/>
    <x v="0"/>
    <n v="80"/>
    <x v="2"/>
    <n v="80712.23"/>
    <x v="2"/>
    <x v="0"/>
    <x v="0"/>
    <n v="49445.48"/>
    <x v="1"/>
  </r>
  <r>
    <n v="158"/>
    <s v="Davis"/>
    <n v="524"/>
    <x v="1"/>
    <x v="0"/>
    <n v="47"/>
    <x v="7"/>
    <n v="95799.03"/>
    <x v="2"/>
    <x v="1"/>
    <x v="1"/>
    <n v="105598.56"/>
    <x v="0"/>
  </r>
  <r>
    <n v="159"/>
    <s v="Taylor"/>
    <n v="848"/>
    <x v="2"/>
    <x v="0"/>
    <n v="29"/>
    <x v="5"/>
    <n v="208033.65"/>
    <x v="2"/>
    <x v="0"/>
    <x v="1"/>
    <n v="43662.79"/>
    <x v="1"/>
  </r>
  <r>
    <n v="160"/>
    <s v="Smith"/>
    <n v="713"/>
    <x v="0"/>
    <x v="1"/>
    <n v="48"/>
    <x v="9"/>
    <n v="16907.88"/>
    <x v="0"/>
    <x v="1"/>
    <x v="0"/>
    <n v="113646.28"/>
    <x v="1"/>
  </r>
  <r>
    <n v="161"/>
    <s v="Taylor"/>
    <n v="402"/>
    <x v="1"/>
    <x v="0"/>
    <n v="89"/>
    <x v="0"/>
    <n v="205105.61"/>
    <x v="0"/>
    <x v="0"/>
    <x v="0"/>
    <n v="75716.98"/>
    <x v="1"/>
  </r>
  <r>
    <n v="162"/>
    <s v="Miller"/>
    <n v="839"/>
    <x v="0"/>
    <x v="1"/>
    <n v="76"/>
    <x v="0"/>
    <n v="51347.49"/>
    <x v="2"/>
    <x v="1"/>
    <x v="1"/>
    <n v="21151.48"/>
    <x v="0"/>
  </r>
  <r>
    <n v="163"/>
    <s v="Davis"/>
    <n v="460"/>
    <x v="2"/>
    <x v="0"/>
    <n v="60"/>
    <x v="1"/>
    <n v="163732.6"/>
    <x v="1"/>
    <x v="0"/>
    <x v="0"/>
    <n v="66914.649999999994"/>
    <x v="0"/>
  </r>
  <r>
    <n v="164"/>
    <s v="Jones"/>
    <n v="414"/>
    <x v="2"/>
    <x v="1"/>
    <n v="89"/>
    <x v="8"/>
    <n v="133217.37"/>
    <x v="1"/>
    <x v="1"/>
    <x v="1"/>
    <n v="120812.2"/>
    <x v="1"/>
  </r>
  <r>
    <n v="165"/>
    <s v="Johnson"/>
    <n v="682"/>
    <x v="1"/>
    <x v="1"/>
    <n v="43"/>
    <x v="10"/>
    <n v="197321.37"/>
    <x v="2"/>
    <x v="1"/>
    <x v="0"/>
    <n v="28096.07"/>
    <x v="1"/>
  </r>
  <r>
    <n v="166"/>
    <s v="Moore"/>
    <n v="724"/>
    <x v="0"/>
    <x v="1"/>
    <n v="72"/>
    <x v="2"/>
    <n v="191624.47"/>
    <x v="0"/>
    <x v="1"/>
    <x v="0"/>
    <n v="80375.98"/>
    <x v="0"/>
  </r>
  <r>
    <n v="167"/>
    <s v="Smith"/>
    <n v="423"/>
    <x v="2"/>
    <x v="1"/>
    <n v="43"/>
    <x v="10"/>
    <n v="143851"/>
    <x v="1"/>
    <x v="1"/>
    <x v="1"/>
    <n v="36084.61"/>
    <x v="1"/>
  </r>
  <r>
    <n v="168"/>
    <s v="Brown"/>
    <n v="496"/>
    <x v="0"/>
    <x v="1"/>
    <n v="63"/>
    <x v="2"/>
    <n v="145172.32"/>
    <x v="0"/>
    <x v="1"/>
    <x v="0"/>
    <n v="139690.22"/>
    <x v="1"/>
  </r>
  <r>
    <n v="169"/>
    <s v="Taylor"/>
    <n v="610"/>
    <x v="0"/>
    <x v="0"/>
    <n v="21"/>
    <x v="8"/>
    <n v="183590.26"/>
    <x v="0"/>
    <x v="0"/>
    <x v="1"/>
    <n v="86790.47"/>
    <x v="0"/>
  </r>
  <r>
    <n v="170"/>
    <s v="Miller"/>
    <n v="613"/>
    <x v="1"/>
    <x v="0"/>
    <n v="55"/>
    <x v="7"/>
    <n v="152640.81"/>
    <x v="2"/>
    <x v="0"/>
    <x v="0"/>
    <n v="33137.160000000003"/>
    <x v="0"/>
  </r>
  <r>
    <n v="171"/>
    <s v="Davis"/>
    <n v="481"/>
    <x v="0"/>
    <x v="1"/>
    <n v="51"/>
    <x v="4"/>
    <n v="139747.91"/>
    <x v="2"/>
    <x v="0"/>
    <x v="1"/>
    <n v="88266.73"/>
    <x v="0"/>
  </r>
  <r>
    <n v="172"/>
    <s v="Wilson"/>
    <n v="398"/>
    <x v="2"/>
    <x v="1"/>
    <n v="78"/>
    <x v="3"/>
    <n v="124423.84"/>
    <x v="2"/>
    <x v="0"/>
    <x v="1"/>
    <n v="144202.79"/>
    <x v="1"/>
  </r>
  <r>
    <n v="173"/>
    <s v="Moore"/>
    <n v="426"/>
    <x v="2"/>
    <x v="1"/>
    <n v="25"/>
    <x v="3"/>
    <n v="239377.45"/>
    <x v="2"/>
    <x v="1"/>
    <x v="1"/>
    <n v="126167.25"/>
    <x v="0"/>
  </r>
  <r>
    <n v="174"/>
    <s v="Moore"/>
    <n v="643"/>
    <x v="1"/>
    <x v="0"/>
    <n v="78"/>
    <x v="5"/>
    <n v="55309.99"/>
    <x v="3"/>
    <x v="1"/>
    <x v="1"/>
    <n v="57614.96"/>
    <x v="1"/>
  </r>
  <r>
    <n v="175"/>
    <s v="Taylor"/>
    <n v="466"/>
    <x v="0"/>
    <x v="1"/>
    <n v="55"/>
    <x v="0"/>
    <n v="109273.56"/>
    <x v="0"/>
    <x v="0"/>
    <x v="0"/>
    <n v="114104.65"/>
    <x v="1"/>
  </r>
  <r>
    <n v="176"/>
    <s v="Williams"/>
    <n v="843"/>
    <x v="2"/>
    <x v="0"/>
    <n v="34"/>
    <x v="2"/>
    <n v="104696.85"/>
    <x v="3"/>
    <x v="1"/>
    <x v="0"/>
    <n v="106102.67"/>
    <x v="1"/>
  </r>
  <r>
    <n v="177"/>
    <s v="Moore"/>
    <n v="398"/>
    <x v="2"/>
    <x v="1"/>
    <n v="63"/>
    <x v="4"/>
    <n v="146639.1"/>
    <x v="1"/>
    <x v="0"/>
    <x v="0"/>
    <n v="114757.22"/>
    <x v="1"/>
  </r>
  <r>
    <n v="178"/>
    <s v="Miller"/>
    <n v="459"/>
    <x v="1"/>
    <x v="0"/>
    <n v="57"/>
    <x v="5"/>
    <n v="170945.73"/>
    <x v="0"/>
    <x v="1"/>
    <x v="0"/>
    <n v="77687.86"/>
    <x v="0"/>
  </r>
  <r>
    <n v="179"/>
    <s v="Miller"/>
    <n v="816"/>
    <x v="0"/>
    <x v="1"/>
    <n v="51"/>
    <x v="10"/>
    <n v="55692.78"/>
    <x v="3"/>
    <x v="1"/>
    <x v="0"/>
    <n v="138662.49"/>
    <x v="1"/>
  </r>
  <r>
    <n v="180"/>
    <s v="Taylor"/>
    <n v="529"/>
    <x v="0"/>
    <x v="0"/>
    <n v="83"/>
    <x v="5"/>
    <n v="140464.4"/>
    <x v="3"/>
    <x v="0"/>
    <x v="0"/>
    <n v="62160.12"/>
    <x v="1"/>
  </r>
  <r>
    <n v="181"/>
    <s v="Johnson"/>
    <n v="399"/>
    <x v="0"/>
    <x v="0"/>
    <n v="91"/>
    <x v="9"/>
    <n v="230097.2"/>
    <x v="2"/>
    <x v="1"/>
    <x v="0"/>
    <n v="144755.60999999999"/>
    <x v="0"/>
  </r>
  <r>
    <n v="182"/>
    <s v="Miller"/>
    <n v="421"/>
    <x v="2"/>
    <x v="1"/>
    <n v="86"/>
    <x v="9"/>
    <n v="58586.77"/>
    <x v="2"/>
    <x v="1"/>
    <x v="0"/>
    <n v="27139.72"/>
    <x v="1"/>
  </r>
  <r>
    <n v="183"/>
    <s v="Moore"/>
    <n v="696"/>
    <x v="2"/>
    <x v="1"/>
    <n v="42"/>
    <x v="4"/>
    <n v="27700.99"/>
    <x v="3"/>
    <x v="1"/>
    <x v="0"/>
    <n v="140547.93"/>
    <x v="0"/>
  </r>
  <r>
    <n v="184"/>
    <s v="Moore"/>
    <n v="783"/>
    <x v="1"/>
    <x v="1"/>
    <n v="24"/>
    <x v="7"/>
    <n v="69808.100000000006"/>
    <x v="0"/>
    <x v="0"/>
    <x v="0"/>
    <n v="116721.45"/>
    <x v="0"/>
  </r>
  <r>
    <n v="185"/>
    <s v="Jones"/>
    <n v="844"/>
    <x v="2"/>
    <x v="1"/>
    <n v="78"/>
    <x v="5"/>
    <n v="138185.18"/>
    <x v="1"/>
    <x v="1"/>
    <x v="0"/>
    <n v="143728.42000000001"/>
    <x v="0"/>
  </r>
  <r>
    <n v="186"/>
    <s v="Williams"/>
    <n v="635"/>
    <x v="1"/>
    <x v="0"/>
    <n v="79"/>
    <x v="4"/>
    <n v="113120.37"/>
    <x v="0"/>
    <x v="0"/>
    <x v="0"/>
    <n v="87508.69"/>
    <x v="0"/>
  </r>
  <r>
    <n v="187"/>
    <s v="Jones"/>
    <n v="353"/>
    <x v="1"/>
    <x v="0"/>
    <n v="77"/>
    <x v="0"/>
    <n v="110096.43"/>
    <x v="2"/>
    <x v="0"/>
    <x v="0"/>
    <n v="141135.62"/>
    <x v="1"/>
  </r>
  <r>
    <n v="188"/>
    <s v="Miller"/>
    <n v="424"/>
    <x v="0"/>
    <x v="0"/>
    <n v="47"/>
    <x v="2"/>
    <n v="163549.64000000001"/>
    <x v="1"/>
    <x v="0"/>
    <x v="0"/>
    <n v="33745.43"/>
    <x v="1"/>
  </r>
  <r>
    <n v="189"/>
    <s v="Jones"/>
    <n v="434"/>
    <x v="1"/>
    <x v="0"/>
    <n v="46"/>
    <x v="2"/>
    <n v="229121.35"/>
    <x v="3"/>
    <x v="0"/>
    <x v="0"/>
    <n v="14185.62"/>
    <x v="0"/>
  </r>
  <r>
    <n v="190"/>
    <s v="Miller"/>
    <n v="840"/>
    <x v="0"/>
    <x v="0"/>
    <n v="42"/>
    <x v="4"/>
    <n v="46465.66"/>
    <x v="0"/>
    <x v="0"/>
    <x v="1"/>
    <n v="108093.18"/>
    <x v="1"/>
  </r>
  <r>
    <n v="191"/>
    <s v="Davis"/>
    <n v="671"/>
    <x v="0"/>
    <x v="0"/>
    <n v="21"/>
    <x v="7"/>
    <n v="87143.41"/>
    <x v="3"/>
    <x v="1"/>
    <x v="0"/>
    <n v="130888.76"/>
    <x v="1"/>
  </r>
  <r>
    <n v="192"/>
    <s v="Wilson"/>
    <n v="725"/>
    <x v="2"/>
    <x v="1"/>
    <n v="39"/>
    <x v="6"/>
    <n v="96291.25"/>
    <x v="1"/>
    <x v="1"/>
    <x v="0"/>
    <n v="135564.73000000001"/>
    <x v="0"/>
  </r>
  <r>
    <n v="193"/>
    <s v="Smith"/>
    <n v="370"/>
    <x v="2"/>
    <x v="0"/>
    <n v="24"/>
    <x v="2"/>
    <n v="38342.589999999997"/>
    <x v="3"/>
    <x v="1"/>
    <x v="1"/>
    <n v="18606.009999999998"/>
    <x v="0"/>
  </r>
  <r>
    <n v="194"/>
    <s v="Moore"/>
    <n v="558"/>
    <x v="1"/>
    <x v="0"/>
    <n v="39"/>
    <x v="10"/>
    <n v="222626.19"/>
    <x v="3"/>
    <x v="1"/>
    <x v="0"/>
    <n v="59452.54"/>
    <x v="1"/>
  </r>
  <r>
    <n v="195"/>
    <s v="Brown"/>
    <n v="392"/>
    <x v="1"/>
    <x v="0"/>
    <n v="45"/>
    <x v="10"/>
    <n v="233110.85"/>
    <x v="1"/>
    <x v="1"/>
    <x v="0"/>
    <n v="72202.649999999994"/>
    <x v="1"/>
  </r>
  <r>
    <n v="196"/>
    <s v="Miller"/>
    <n v="848"/>
    <x v="1"/>
    <x v="1"/>
    <n v="44"/>
    <x v="1"/>
    <n v="249802"/>
    <x v="1"/>
    <x v="0"/>
    <x v="0"/>
    <n v="139671.38"/>
    <x v="1"/>
  </r>
  <r>
    <n v="197"/>
    <s v="Davis"/>
    <n v="378"/>
    <x v="1"/>
    <x v="0"/>
    <n v="82"/>
    <x v="10"/>
    <n v="59302.02"/>
    <x v="3"/>
    <x v="1"/>
    <x v="1"/>
    <n v="51011.37"/>
    <x v="0"/>
  </r>
  <r>
    <n v="198"/>
    <s v="Moore"/>
    <n v="760"/>
    <x v="2"/>
    <x v="1"/>
    <n v="21"/>
    <x v="8"/>
    <n v="17937.98"/>
    <x v="1"/>
    <x v="1"/>
    <x v="0"/>
    <n v="106372.6"/>
    <x v="0"/>
  </r>
  <r>
    <n v="199"/>
    <s v="Williams"/>
    <n v="693"/>
    <x v="1"/>
    <x v="0"/>
    <n v="71"/>
    <x v="4"/>
    <n v="37093.39"/>
    <x v="0"/>
    <x v="0"/>
    <x v="0"/>
    <n v="40784.480000000003"/>
    <x v="1"/>
  </r>
  <r>
    <n v="200"/>
    <s v="Jones"/>
    <n v="530"/>
    <x v="0"/>
    <x v="0"/>
    <n v="55"/>
    <x v="7"/>
    <n v="205216.41"/>
    <x v="0"/>
    <x v="1"/>
    <x v="0"/>
    <n v="95781.75"/>
    <x v="1"/>
  </r>
  <r>
    <n v="201"/>
    <s v="Taylor"/>
    <n v="654"/>
    <x v="2"/>
    <x v="1"/>
    <n v="25"/>
    <x v="2"/>
    <n v="232419.55"/>
    <x v="1"/>
    <x v="0"/>
    <x v="1"/>
    <n v="25837.27"/>
    <x v="1"/>
  </r>
  <r>
    <n v="202"/>
    <s v="Wilson"/>
    <n v="800"/>
    <x v="0"/>
    <x v="0"/>
    <n v="29"/>
    <x v="3"/>
    <n v="88974.52"/>
    <x v="2"/>
    <x v="0"/>
    <x v="1"/>
    <n v="115636.53"/>
    <x v="0"/>
  </r>
  <r>
    <n v="203"/>
    <s v="Davis"/>
    <n v="452"/>
    <x v="1"/>
    <x v="0"/>
    <n v="20"/>
    <x v="4"/>
    <n v="240624.04"/>
    <x v="0"/>
    <x v="1"/>
    <x v="0"/>
    <n v="16236.92"/>
    <x v="1"/>
  </r>
  <r>
    <n v="204"/>
    <s v="Jones"/>
    <n v="615"/>
    <x v="2"/>
    <x v="1"/>
    <n v="72"/>
    <x v="2"/>
    <n v="199237.9"/>
    <x v="3"/>
    <x v="1"/>
    <x v="0"/>
    <n v="149768.04999999999"/>
    <x v="1"/>
  </r>
  <r>
    <n v="205"/>
    <s v="Brown"/>
    <n v="608"/>
    <x v="0"/>
    <x v="1"/>
    <n v="23"/>
    <x v="1"/>
    <n v="88373.18"/>
    <x v="1"/>
    <x v="1"/>
    <x v="0"/>
    <n v="122196.71"/>
    <x v="0"/>
  </r>
  <r>
    <n v="206"/>
    <s v="Davis"/>
    <n v="722"/>
    <x v="2"/>
    <x v="0"/>
    <n v="35"/>
    <x v="0"/>
    <n v="212738.23"/>
    <x v="2"/>
    <x v="0"/>
    <x v="1"/>
    <n v="95777.53"/>
    <x v="1"/>
  </r>
  <r>
    <n v="207"/>
    <s v="Jones"/>
    <n v="714"/>
    <x v="0"/>
    <x v="0"/>
    <n v="23"/>
    <x v="6"/>
    <n v="160251.42000000001"/>
    <x v="0"/>
    <x v="0"/>
    <x v="0"/>
    <n v="117590.06"/>
    <x v="1"/>
  </r>
  <r>
    <n v="208"/>
    <s v="Jones"/>
    <n v="583"/>
    <x v="2"/>
    <x v="1"/>
    <n v="48"/>
    <x v="5"/>
    <n v="111620.9"/>
    <x v="1"/>
    <x v="0"/>
    <x v="1"/>
    <n v="10423.709999999999"/>
    <x v="1"/>
  </r>
  <r>
    <n v="209"/>
    <s v="Wilson"/>
    <n v="695"/>
    <x v="0"/>
    <x v="1"/>
    <n v="21"/>
    <x v="5"/>
    <n v="112981.4"/>
    <x v="2"/>
    <x v="1"/>
    <x v="1"/>
    <n v="69975.320000000007"/>
    <x v="0"/>
  </r>
  <r>
    <n v="210"/>
    <s v="Taylor"/>
    <n v="730"/>
    <x v="0"/>
    <x v="1"/>
    <n v="18"/>
    <x v="4"/>
    <n v="240529.94"/>
    <x v="0"/>
    <x v="0"/>
    <x v="0"/>
    <n v="93107.1"/>
    <x v="0"/>
  </r>
  <r>
    <n v="211"/>
    <s v="Taylor"/>
    <n v="723"/>
    <x v="0"/>
    <x v="1"/>
    <n v="62"/>
    <x v="2"/>
    <n v="73255.710000000006"/>
    <x v="1"/>
    <x v="0"/>
    <x v="0"/>
    <n v="146668.19"/>
    <x v="0"/>
  </r>
  <r>
    <n v="212"/>
    <s v="Taylor"/>
    <n v="450"/>
    <x v="2"/>
    <x v="0"/>
    <n v="62"/>
    <x v="2"/>
    <n v="167423.71"/>
    <x v="2"/>
    <x v="1"/>
    <x v="1"/>
    <n v="61220.89"/>
    <x v="1"/>
  </r>
  <r>
    <n v="213"/>
    <s v="Wilson"/>
    <n v="440"/>
    <x v="0"/>
    <x v="0"/>
    <n v="79"/>
    <x v="5"/>
    <n v="201052.55"/>
    <x v="3"/>
    <x v="1"/>
    <x v="0"/>
    <n v="145868.74"/>
    <x v="0"/>
  </r>
  <r>
    <n v="214"/>
    <s v="Jones"/>
    <n v="418"/>
    <x v="0"/>
    <x v="1"/>
    <n v="18"/>
    <x v="7"/>
    <n v="96345.86"/>
    <x v="2"/>
    <x v="0"/>
    <x v="0"/>
    <n v="82176.899999999994"/>
    <x v="0"/>
  </r>
  <r>
    <n v="215"/>
    <s v="Williams"/>
    <n v="455"/>
    <x v="1"/>
    <x v="0"/>
    <n v="35"/>
    <x v="10"/>
    <n v="116072.5"/>
    <x v="2"/>
    <x v="1"/>
    <x v="0"/>
    <n v="19713.43"/>
    <x v="0"/>
  </r>
  <r>
    <n v="216"/>
    <s v="Jones"/>
    <n v="360"/>
    <x v="0"/>
    <x v="1"/>
    <n v="47"/>
    <x v="5"/>
    <n v="160567.84"/>
    <x v="3"/>
    <x v="0"/>
    <x v="0"/>
    <n v="96310.13"/>
    <x v="1"/>
  </r>
  <r>
    <n v="217"/>
    <s v="Taylor"/>
    <n v="362"/>
    <x v="1"/>
    <x v="1"/>
    <n v="52"/>
    <x v="3"/>
    <n v="146945.31"/>
    <x v="2"/>
    <x v="0"/>
    <x v="0"/>
    <n v="125091.68"/>
    <x v="0"/>
  </r>
  <r>
    <n v="218"/>
    <s v="Wilson"/>
    <n v="454"/>
    <x v="2"/>
    <x v="0"/>
    <n v="77"/>
    <x v="7"/>
    <n v="183306.47"/>
    <x v="1"/>
    <x v="0"/>
    <x v="1"/>
    <n v="134198.82999999999"/>
    <x v="1"/>
  </r>
  <r>
    <n v="219"/>
    <s v="Wilson"/>
    <n v="575"/>
    <x v="0"/>
    <x v="1"/>
    <n v="39"/>
    <x v="1"/>
    <n v="213911.63"/>
    <x v="0"/>
    <x v="1"/>
    <x v="1"/>
    <n v="84036.97"/>
    <x v="1"/>
  </r>
  <r>
    <n v="220"/>
    <s v="Davis"/>
    <n v="771"/>
    <x v="2"/>
    <x v="1"/>
    <n v="81"/>
    <x v="1"/>
    <n v="135435.82999999999"/>
    <x v="0"/>
    <x v="1"/>
    <x v="1"/>
    <n v="72274.3"/>
    <x v="0"/>
  </r>
  <r>
    <n v="221"/>
    <s v="Johnson"/>
    <n v="517"/>
    <x v="1"/>
    <x v="0"/>
    <n v="35"/>
    <x v="7"/>
    <n v="239854.9"/>
    <x v="1"/>
    <x v="0"/>
    <x v="1"/>
    <n v="99332.87"/>
    <x v="0"/>
  </r>
  <r>
    <n v="222"/>
    <s v="Williams"/>
    <n v="766"/>
    <x v="1"/>
    <x v="0"/>
    <n v="56"/>
    <x v="1"/>
    <n v="70283.899999999994"/>
    <x v="0"/>
    <x v="0"/>
    <x v="0"/>
    <n v="18737.27"/>
    <x v="0"/>
  </r>
  <r>
    <n v="223"/>
    <s v="Williams"/>
    <n v="728"/>
    <x v="2"/>
    <x v="1"/>
    <n v="19"/>
    <x v="8"/>
    <n v="16689.2"/>
    <x v="0"/>
    <x v="0"/>
    <x v="1"/>
    <n v="141842.12"/>
    <x v="1"/>
  </r>
  <r>
    <n v="224"/>
    <s v="Moore"/>
    <n v="639"/>
    <x v="0"/>
    <x v="0"/>
    <n v="33"/>
    <x v="1"/>
    <n v="96088.43"/>
    <x v="1"/>
    <x v="0"/>
    <x v="0"/>
    <n v="43587.17"/>
    <x v="0"/>
  </r>
  <r>
    <n v="225"/>
    <s v="Johnson"/>
    <n v="760"/>
    <x v="2"/>
    <x v="0"/>
    <n v="35"/>
    <x v="10"/>
    <n v="241023.24"/>
    <x v="2"/>
    <x v="1"/>
    <x v="0"/>
    <n v="97832.3"/>
    <x v="0"/>
  </r>
  <r>
    <n v="226"/>
    <s v="Davis"/>
    <n v="449"/>
    <x v="1"/>
    <x v="0"/>
    <n v="71"/>
    <x v="10"/>
    <n v="190983.34"/>
    <x v="0"/>
    <x v="1"/>
    <x v="1"/>
    <n v="94496.24"/>
    <x v="0"/>
  </r>
  <r>
    <n v="227"/>
    <s v="Moore"/>
    <n v="567"/>
    <x v="1"/>
    <x v="0"/>
    <n v="40"/>
    <x v="6"/>
    <n v="49223"/>
    <x v="3"/>
    <x v="1"/>
    <x v="1"/>
    <n v="111037.23"/>
    <x v="0"/>
  </r>
  <r>
    <n v="228"/>
    <s v="Brown"/>
    <n v="656"/>
    <x v="0"/>
    <x v="0"/>
    <n v="65"/>
    <x v="2"/>
    <n v="244926.41"/>
    <x v="0"/>
    <x v="1"/>
    <x v="1"/>
    <n v="129494.46"/>
    <x v="1"/>
  </r>
  <r>
    <n v="229"/>
    <s v="Smith"/>
    <n v="694"/>
    <x v="1"/>
    <x v="0"/>
    <n v="84"/>
    <x v="9"/>
    <n v="175604.34"/>
    <x v="2"/>
    <x v="1"/>
    <x v="1"/>
    <n v="45375.97"/>
    <x v="1"/>
  </r>
  <r>
    <n v="230"/>
    <s v="Williams"/>
    <n v="560"/>
    <x v="0"/>
    <x v="1"/>
    <n v="29"/>
    <x v="5"/>
    <n v="199808.98"/>
    <x v="1"/>
    <x v="0"/>
    <x v="1"/>
    <n v="38969.33"/>
    <x v="1"/>
  </r>
  <r>
    <n v="231"/>
    <s v="Davis"/>
    <n v="626"/>
    <x v="0"/>
    <x v="0"/>
    <n v="27"/>
    <x v="10"/>
    <n v="13467.28"/>
    <x v="1"/>
    <x v="1"/>
    <x v="0"/>
    <n v="114472.4"/>
    <x v="1"/>
  </r>
  <r>
    <n v="232"/>
    <s v="Davis"/>
    <n v="572"/>
    <x v="0"/>
    <x v="1"/>
    <n v="58"/>
    <x v="6"/>
    <n v="180664.35"/>
    <x v="1"/>
    <x v="0"/>
    <x v="1"/>
    <n v="36108.42"/>
    <x v="0"/>
  </r>
  <r>
    <n v="233"/>
    <s v="Smith"/>
    <n v="506"/>
    <x v="1"/>
    <x v="1"/>
    <n v="72"/>
    <x v="6"/>
    <n v="120906.58"/>
    <x v="3"/>
    <x v="0"/>
    <x v="0"/>
    <n v="143845.99"/>
    <x v="1"/>
  </r>
  <r>
    <n v="234"/>
    <s v="Moore"/>
    <n v="422"/>
    <x v="2"/>
    <x v="1"/>
    <n v="69"/>
    <x v="9"/>
    <n v="198731.58"/>
    <x v="0"/>
    <x v="0"/>
    <x v="0"/>
    <n v="37615.839999999997"/>
    <x v="1"/>
  </r>
  <r>
    <n v="235"/>
    <s v="Johnson"/>
    <n v="624"/>
    <x v="2"/>
    <x v="0"/>
    <n v="65"/>
    <x v="8"/>
    <n v="179014.43"/>
    <x v="1"/>
    <x v="0"/>
    <x v="0"/>
    <n v="83705.740000000005"/>
    <x v="1"/>
  </r>
  <r>
    <n v="236"/>
    <s v="Johnson"/>
    <n v="759"/>
    <x v="1"/>
    <x v="0"/>
    <n v="22"/>
    <x v="6"/>
    <n v="44104.69"/>
    <x v="2"/>
    <x v="0"/>
    <x v="1"/>
    <n v="101878.09"/>
    <x v="1"/>
  </r>
  <r>
    <n v="237"/>
    <s v="Smith"/>
    <n v="758"/>
    <x v="2"/>
    <x v="1"/>
    <n v="28"/>
    <x v="3"/>
    <n v="229680.01"/>
    <x v="1"/>
    <x v="0"/>
    <x v="0"/>
    <n v="33894.089999999997"/>
    <x v="0"/>
  </r>
  <r>
    <n v="238"/>
    <s v="Jones"/>
    <n v="389"/>
    <x v="2"/>
    <x v="1"/>
    <n v="24"/>
    <x v="1"/>
    <n v="144426.62"/>
    <x v="1"/>
    <x v="0"/>
    <x v="0"/>
    <n v="64031.99"/>
    <x v="0"/>
  </r>
  <r>
    <n v="239"/>
    <s v="Moore"/>
    <n v="584"/>
    <x v="1"/>
    <x v="1"/>
    <n v="62"/>
    <x v="7"/>
    <n v="96431.53"/>
    <x v="0"/>
    <x v="0"/>
    <x v="1"/>
    <n v="119070.68"/>
    <x v="0"/>
  </r>
  <r>
    <n v="240"/>
    <s v="Moore"/>
    <n v="473"/>
    <x v="2"/>
    <x v="1"/>
    <n v="90"/>
    <x v="2"/>
    <n v="56926.6"/>
    <x v="0"/>
    <x v="1"/>
    <x v="0"/>
    <n v="52021.75"/>
    <x v="1"/>
  </r>
  <r>
    <n v="241"/>
    <s v="Brown"/>
    <n v="634"/>
    <x v="1"/>
    <x v="0"/>
    <n v="26"/>
    <x v="9"/>
    <n v="195884.79999999999"/>
    <x v="0"/>
    <x v="1"/>
    <x v="1"/>
    <n v="58187.74"/>
    <x v="1"/>
  </r>
  <r>
    <n v="242"/>
    <s v="Brown"/>
    <n v="502"/>
    <x v="0"/>
    <x v="1"/>
    <n v="90"/>
    <x v="2"/>
    <n v="242675.6"/>
    <x v="2"/>
    <x v="0"/>
    <x v="0"/>
    <n v="38576.97"/>
    <x v="1"/>
  </r>
  <r>
    <n v="243"/>
    <s v="Smith"/>
    <n v="496"/>
    <x v="0"/>
    <x v="0"/>
    <n v="36"/>
    <x v="1"/>
    <n v="183880.09"/>
    <x v="0"/>
    <x v="0"/>
    <x v="1"/>
    <n v="116196.88"/>
    <x v="0"/>
  </r>
  <r>
    <n v="244"/>
    <s v="Taylor"/>
    <n v="545"/>
    <x v="2"/>
    <x v="1"/>
    <n v="20"/>
    <x v="8"/>
    <n v="152465.9"/>
    <x v="0"/>
    <x v="0"/>
    <x v="1"/>
    <n v="43527.09"/>
    <x v="0"/>
  </r>
  <r>
    <n v="245"/>
    <s v="Jones"/>
    <n v="522"/>
    <x v="1"/>
    <x v="0"/>
    <n v="87"/>
    <x v="6"/>
    <n v="237584.05"/>
    <x v="0"/>
    <x v="0"/>
    <x v="1"/>
    <n v="47917.63"/>
    <x v="1"/>
  </r>
  <r>
    <n v="246"/>
    <s v="Wilson"/>
    <n v="561"/>
    <x v="0"/>
    <x v="0"/>
    <n v="47"/>
    <x v="9"/>
    <n v="177892.9"/>
    <x v="1"/>
    <x v="1"/>
    <x v="0"/>
    <n v="78723.149999999994"/>
    <x v="1"/>
  </r>
  <r>
    <n v="247"/>
    <s v="Jones"/>
    <n v="651"/>
    <x v="1"/>
    <x v="1"/>
    <n v="45"/>
    <x v="4"/>
    <n v="114118.16"/>
    <x v="2"/>
    <x v="1"/>
    <x v="0"/>
    <n v="36850.699999999997"/>
    <x v="0"/>
  </r>
  <r>
    <n v="248"/>
    <s v="Williams"/>
    <n v="660"/>
    <x v="1"/>
    <x v="1"/>
    <n v="35"/>
    <x v="10"/>
    <n v="80413.460000000006"/>
    <x v="3"/>
    <x v="1"/>
    <x v="1"/>
    <n v="42147.48"/>
    <x v="0"/>
  </r>
  <r>
    <n v="249"/>
    <s v="Johnson"/>
    <n v="350"/>
    <x v="1"/>
    <x v="1"/>
    <n v="76"/>
    <x v="1"/>
    <n v="47176.34"/>
    <x v="2"/>
    <x v="0"/>
    <x v="1"/>
    <n v="139671.97"/>
    <x v="0"/>
  </r>
  <r>
    <n v="250"/>
    <s v="Johnson"/>
    <n v="488"/>
    <x v="2"/>
    <x v="1"/>
    <n v="29"/>
    <x v="4"/>
    <n v="218420.19"/>
    <x v="1"/>
    <x v="0"/>
    <x v="0"/>
    <n v="122291.38"/>
    <x v="0"/>
  </r>
  <r>
    <n v="251"/>
    <s v="Williams"/>
    <n v="545"/>
    <x v="0"/>
    <x v="0"/>
    <n v="67"/>
    <x v="10"/>
    <n v="180722.3"/>
    <x v="3"/>
    <x v="0"/>
    <x v="1"/>
    <n v="47605.64"/>
    <x v="0"/>
  </r>
  <r>
    <n v="252"/>
    <s v="Johnson"/>
    <n v="740"/>
    <x v="2"/>
    <x v="0"/>
    <n v="90"/>
    <x v="7"/>
    <n v="244519.73"/>
    <x v="2"/>
    <x v="1"/>
    <x v="1"/>
    <n v="107875.29"/>
    <x v="0"/>
  </r>
  <r>
    <n v="253"/>
    <s v="Brown"/>
    <n v="569"/>
    <x v="1"/>
    <x v="0"/>
    <n v="21"/>
    <x v="7"/>
    <n v="18800.849999999999"/>
    <x v="1"/>
    <x v="1"/>
    <x v="0"/>
    <n v="60995.519999999997"/>
    <x v="1"/>
  </r>
  <r>
    <n v="254"/>
    <s v="Williams"/>
    <n v="705"/>
    <x v="0"/>
    <x v="0"/>
    <n v="29"/>
    <x v="5"/>
    <n v="78681.009999999995"/>
    <x v="1"/>
    <x v="1"/>
    <x v="0"/>
    <n v="69503.59"/>
    <x v="0"/>
  </r>
  <r>
    <n v="255"/>
    <s v="Davis"/>
    <n v="791"/>
    <x v="2"/>
    <x v="0"/>
    <n v="75"/>
    <x v="9"/>
    <n v="101615.64"/>
    <x v="3"/>
    <x v="0"/>
    <x v="0"/>
    <n v="108820.32"/>
    <x v="1"/>
  </r>
  <r>
    <n v="256"/>
    <s v="Davis"/>
    <n v="804"/>
    <x v="0"/>
    <x v="1"/>
    <n v="68"/>
    <x v="5"/>
    <n v="240635.59"/>
    <x v="1"/>
    <x v="1"/>
    <x v="0"/>
    <n v="122764.08"/>
    <x v="0"/>
  </r>
  <r>
    <n v="257"/>
    <s v="Davis"/>
    <n v="753"/>
    <x v="2"/>
    <x v="0"/>
    <n v="33"/>
    <x v="2"/>
    <n v="147696.65"/>
    <x v="3"/>
    <x v="0"/>
    <x v="0"/>
    <n v="46897.41"/>
    <x v="1"/>
  </r>
  <r>
    <n v="258"/>
    <s v="Williams"/>
    <n v="512"/>
    <x v="1"/>
    <x v="1"/>
    <n v="75"/>
    <x v="5"/>
    <n v="170020.95"/>
    <x v="2"/>
    <x v="0"/>
    <x v="1"/>
    <n v="34325.360000000001"/>
    <x v="1"/>
  </r>
  <r>
    <n v="259"/>
    <s v="Davis"/>
    <n v="400"/>
    <x v="0"/>
    <x v="0"/>
    <n v="21"/>
    <x v="1"/>
    <n v="67715.59"/>
    <x v="3"/>
    <x v="0"/>
    <x v="1"/>
    <n v="71585.87"/>
    <x v="1"/>
  </r>
  <r>
    <n v="260"/>
    <s v="Wilson"/>
    <n v="592"/>
    <x v="1"/>
    <x v="0"/>
    <n v="78"/>
    <x v="4"/>
    <n v="64372.08"/>
    <x v="3"/>
    <x v="1"/>
    <x v="1"/>
    <n v="45223.9"/>
    <x v="1"/>
  </r>
  <r>
    <n v="261"/>
    <s v="Wilson"/>
    <n v="708"/>
    <x v="1"/>
    <x v="1"/>
    <n v="57"/>
    <x v="4"/>
    <n v="85692.93"/>
    <x v="1"/>
    <x v="0"/>
    <x v="1"/>
    <n v="122538.35"/>
    <x v="0"/>
  </r>
  <r>
    <n v="262"/>
    <s v="Miller"/>
    <n v="370"/>
    <x v="0"/>
    <x v="0"/>
    <n v="47"/>
    <x v="8"/>
    <n v="20999.24"/>
    <x v="0"/>
    <x v="0"/>
    <x v="1"/>
    <n v="33647.800000000003"/>
    <x v="1"/>
  </r>
  <r>
    <n v="263"/>
    <s v="Johnson"/>
    <n v="521"/>
    <x v="0"/>
    <x v="0"/>
    <n v="71"/>
    <x v="5"/>
    <n v="234878.9"/>
    <x v="1"/>
    <x v="1"/>
    <x v="1"/>
    <n v="55748.58"/>
    <x v="1"/>
  </r>
  <r>
    <n v="264"/>
    <s v="Miller"/>
    <n v="468"/>
    <x v="2"/>
    <x v="1"/>
    <n v="85"/>
    <x v="0"/>
    <n v="101290.26"/>
    <x v="1"/>
    <x v="0"/>
    <x v="1"/>
    <n v="37047.949999999997"/>
    <x v="0"/>
  </r>
  <r>
    <n v="265"/>
    <s v="Wilson"/>
    <n v="478"/>
    <x v="2"/>
    <x v="0"/>
    <n v="74"/>
    <x v="4"/>
    <n v="50125.4"/>
    <x v="2"/>
    <x v="0"/>
    <x v="1"/>
    <n v="14640.19"/>
    <x v="1"/>
  </r>
  <r>
    <n v="266"/>
    <s v="Williams"/>
    <n v="834"/>
    <x v="1"/>
    <x v="1"/>
    <n v="63"/>
    <x v="8"/>
    <n v="85953.51"/>
    <x v="3"/>
    <x v="0"/>
    <x v="1"/>
    <n v="91754.31"/>
    <x v="0"/>
  </r>
  <r>
    <n v="267"/>
    <s v="Jones"/>
    <n v="715"/>
    <x v="2"/>
    <x v="0"/>
    <n v="29"/>
    <x v="8"/>
    <n v="48947.26"/>
    <x v="2"/>
    <x v="0"/>
    <x v="0"/>
    <n v="119204.73"/>
    <x v="1"/>
  </r>
  <r>
    <n v="268"/>
    <s v="Johnson"/>
    <n v="455"/>
    <x v="0"/>
    <x v="1"/>
    <n v="23"/>
    <x v="10"/>
    <n v="63959.82"/>
    <x v="2"/>
    <x v="1"/>
    <x v="1"/>
    <n v="124481.95"/>
    <x v="0"/>
  </r>
  <r>
    <n v="269"/>
    <s v="Taylor"/>
    <n v="544"/>
    <x v="0"/>
    <x v="0"/>
    <n v="48"/>
    <x v="7"/>
    <n v="189398.99"/>
    <x v="3"/>
    <x v="0"/>
    <x v="1"/>
    <n v="106385.78"/>
    <x v="1"/>
  </r>
  <r>
    <n v="270"/>
    <s v="Davis"/>
    <n v="575"/>
    <x v="0"/>
    <x v="0"/>
    <n v="76"/>
    <x v="6"/>
    <n v="59505.51"/>
    <x v="2"/>
    <x v="0"/>
    <x v="0"/>
    <n v="116792.39"/>
    <x v="1"/>
  </r>
  <r>
    <n v="271"/>
    <s v="Taylor"/>
    <n v="490"/>
    <x v="1"/>
    <x v="1"/>
    <n v="86"/>
    <x v="1"/>
    <n v="174710.86"/>
    <x v="0"/>
    <x v="0"/>
    <x v="1"/>
    <n v="72099.13"/>
    <x v="1"/>
  </r>
  <r>
    <n v="272"/>
    <s v="Taylor"/>
    <n v="621"/>
    <x v="2"/>
    <x v="1"/>
    <n v="77"/>
    <x v="0"/>
    <n v="148341.38"/>
    <x v="3"/>
    <x v="1"/>
    <x v="1"/>
    <n v="26002.71"/>
    <x v="1"/>
  </r>
  <r>
    <n v="273"/>
    <s v="Williams"/>
    <n v="468"/>
    <x v="2"/>
    <x v="0"/>
    <n v="50"/>
    <x v="8"/>
    <n v="36270.720000000001"/>
    <x v="2"/>
    <x v="1"/>
    <x v="0"/>
    <n v="48088.94"/>
    <x v="1"/>
  </r>
  <r>
    <n v="274"/>
    <s v="Smith"/>
    <n v="383"/>
    <x v="2"/>
    <x v="0"/>
    <n v="55"/>
    <x v="5"/>
    <n v="190927.15"/>
    <x v="0"/>
    <x v="0"/>
    <x v="0"/>
    <n v="88503.02"/>
    <x v="1"/>
  </r>
  <r>
    <n v="275"/>
    <s v="Taylor"/>
    <n v="501"/>
    <x v="2"/>
    <x v="0"/>
    <n v="61"/>
    <x v="4"/>
    <n v="213218.12"/>
    <x v="1"/>
    <x v="0"/>
    <x v="0"/>
    <n v="140183.29"/>
    <x v="0"/>
  </r>
  <r>
    <n v="276"/>
    <s v="Johnson"/>
    <n v="746"/>
    <x v="2"/>
    <x v="0"/>
    <n v="78"/>
    <x v="3"/>
    <n v="238996.86"/>
    <x v="3"/>
    <x v="0"/>
    <x v="0"/>
    <n v="105194.71"/>
    <x v="0"/>
  </r>
  <r>
    <n v="277"/>
    <s v="Taylor"/>
    <n v="739"/>
    <x v="2"/>
    <x v="0"/>
    <n v="63"/>
    <x v="10"/>
    <n v="239749.84"/>
    <x v="1"/>
    <x v="1"/>
    <x v="0"/>
    <n v="35871.660000000003"/>
    <x v="0"/>
  </r>
  <r>
    <n v="278"/>
    <s v="Smith"/>
    <n v="388"/>
    <x v="2"/>
    <x v="1"/>
    <n v="47"/>
    <x v="4"/>
    <n v="176592.7"/>
    <x v="2"/>
    <x v="1"/>
    <x v="0"/>
    <n v="75036.289999999994"/>
    <x v="1"/>
  </r>
  <r>
    <n v="279"/>
    <s v="Miller"/>
    <n v="607"/>
    <x v="1"/>
    <x v="1"/>
    <n v="45"/>
    <x v="4"/>
    <n v="72836.13"/>
    <x v="0"/>
    <x v="0"/>
    <x v="1"/>
    <n v="127236.12"/>
    <x v="1"/>
  </r>
  <r>
    <n v="280"/>
    <s v="Smith"/>
    <n v="616"/>
    <x v="2"/>
    <x v="0"/>
    <n v="45"/>
    <x v="10"/>
    <n v="9477.92"/>
    <x v="0"/>
    <x v="0"/>
    <x v="1"/>
    <n v="23547.86"/>
    <x v="1"/>
  </r>
  <r>
    <n v="281"/>
    <s v="Brown"/>
    <n v="356"/>
    <x v="2"/>
    <x v="1"/>
    <n v="47"/>
    <x v="2"/>
    <n v="97557.6"/>
    <x v="0"/>
    <x v="1"/>
    <x v="1"/>
    <n v="21082.35"/>
    <x v="1"/>
  </r>
  <r>
    <n v="282"/>
    <s v="Moore"/>
    <n v="731"/>
    <x v="2"/>
    <x v="1"/>
    <n v="90"/>
    <x v="9"/>
    <n v="183281.65"/>
    <x v="1"/>
    <x v="0"/>
    <x v="1"/>
    <n v="141248.29"/>
    <x v="1"/>
  </r>
  <r>
    <n v="283"/>
    <s v="Brown"/>
    <n v="612"/>
    <x v="1"/>
    <x v="0"/>
    <n v="56"/>
    <x v="10"/>
    <n v="235159.65"/>
    <x v="0"/>
    <x v="1"/>
    <x v="1"/>
    <n v="132280.03"/>
    <x v="1"/>
  </r>
  <r>
    <n v="284"/>
    <s v="Jones"/>
    <n v="452"/>
    <x v="2"/>
    <x v="0"/>
    <n v="29"/>
    <x v="7"/>
    <n v="28385.09"/>
    <x v="0"/>
    <x v="1"/>
    <x v="1"/>
    <n v="70010.28"/>
    <x v="0"/>
  </r>
  <r>
    <n v="285"/>
    <s v="Jones"/>
    <n v="772"/>
    <x v="1"/>
    <x v="0"/>
    <n v="50"/>
    <x v="7"/>
    <n v="135560.49"/>
    <x v="1"/>
    <x v="1"/>
    <x v="0"/>
    <n v="111365.93"/>
    <x v="1"/>
  </r>
  <r>
    <n v="286"/>
    <s v="Moore"/>
    <n v="681"/>
    <x v="1"/>
    <x v="1"/>
    <n v="68"/>
    <x v="7"/>
    <n v="118693.43"/>
    <x v="1"/>
    <x v="0"/>
    <x v="1"/>
    <n v="119809.36"/>
    <x v="1"/>
  </r>
  <r>
    <n v="287"/>
    <s v="Moore"/>
    <n v="720"/>
    <x v="1"/>
    <x v="0"/>
    <n v="58"/>
    <x v="3"/>
    <n v="11432.08"/>
    <x v="0"/>
    <x v="1"/>
    <x v="0"/>
    <n v="56250.21"/>
    <x v="1"/>
  </r>
  <r>
    <n v="288"/>
    <s v="Wilson"/>
    <n v="691"/>
    <x v="0"/>
    <x v="1"/>
    <n v="88"/>
    <x v="7"/>
    <n v="162669.35999999999"/>
    <x v="2"/>
    <x v="1"/>
    <x v="0"/>
    <n v="71072.84"/>
    <x v="0"/>
  </r>
  <r>
    <n v="289"/>
    <s v="Smith"/>
    <n v="732"/>
    <x v="2"/>
    <x v="1"/>
    <n v="48"/>
    <x v="0"/>
    <n v="218144.92"/>
    <x v="2"/>
    <x v="0"/>
    <x v="1"/>
    <n v="130492.75"/>
    <x v="1"/>
  </r>
  <r>
    <n v="290"/>
    <s v="Jones"/>
    <n v="720"/>
    <x v="0"/>
    <x v="1"/>
    <n v="40"/>
    <x v="3"/>
    <n v="115463.15"/>
    <x v="3"/>
    <x v="0"/>
    <x v="0"/>
    <n v="11871.68"/>
    <x v="0"/>
  </r>
  <r>
    <n v="291"/>
    <s v="Moore"/>
    <n v="528"/>
    <x v="2"/>
    <x v="1"/>
    <n v="53"/>
    <x v="2"/>
    <n v="130816.43"/>
    <x v="0"/>
    <x v="1"/>
    <x v="0"/>
    <n v="57363.12"/>
    <x v="0"/>
  </r>
  <r>
    <n v="292"/>
    <s v="Wilson"/>
    <n v="657"/>
    <x v="1"/>
    <x v="1"/>
    <n v="86"/>
    <x v="6"/>
    <n v="44447.47"/>
    <x v="3"/>
    <x v="1"/>
    <x v="0"/>
    <n v="145899.54"/>
    <x v="0"/>
  </r>
  <r>
    <n v="293"/>
    <s v="Wilson"/>
    <n v="608"/>
    <x v="1"/>
    <x v="1"/>
    <n v="81"/>
    <x v="10"/>
    <n v="30279.62"/>
    <x v="1"/>
    <x v="1"/>
    <x v="1"/>
    <n v="74150.789999999994"/>
    <x v="1"/>
  </r>
  <r>
    <n v="294"/>
    <s v="Johnson"/>
    <n v="682"/>
    <x v="2"/>
    <x v="1"/>
    <n v="22"/>
    <x v="9"/>
    <n v="153461.96"/>
    <x v="1"/>
    <x v="1"/>
    <x v="1"/>
    <n v="66758.63"/>
    <x v="0"/>
  </r>
  <r>
    <n v="295"/>
    <s v="Moore"/>
    <n v="507"/>
    <x v="2"/>
    <x v="1"/>
    <n v="67"/>
    <x v="6"/>
    <n v="179102.53"/>
    <x v="1"/>
    <x v="1"/>
    <x v="0"/>
    <n v="14556.33"/>
    <x v="1"/>
  </r>
  <r>
    <n v="296"/>
    <s v="Brown"/>
    <n v="359"/>
    <x v="1"/>
    <x v="1"/>
    <n v="47"/>
    <x v="2"/>
    <n v="71875.839999999997"/>
    <x v="1"/>
    <x v="1"/>
    <x v="1"/>
    <n v="112038.87"/>
    <x v="0"/>
  </r>
  <r>
    <n v="297"/>
    <s v="Wilson"/>
    <n v="465"/>
    <x v="2"/>
    <x v="0"/>
    <n v="81"/>
    <x v="9"/>
    <n v="124862.63"/>
    <x v="2"/>
    <x v="0"/>
    <x v="1"/>
    <n v="141751.96"/>
    <x v="0"/>
  </r>
  <r>
    <n v="298"/>
    <s v="Smith"/>
    <n v="806"/>
    <x v="2"/>
    <x v="1"/>
    <n v="79"/>
    <x v="7"/>
    <n v="239514.85"/>
    <x v="1"/>
    <x v="1"/>
    <x v="0"/>
    <n v="107683.81"/>
    <x v="1"/>
  </r>
  <r>
    <n v="299"/>
    <s v="Brown"/>
    <n v="739"/>
    <x v="0"/>
    <x v="1"/>
    <n v="44"/>
    <x v="8"/>
    <n v="8330.89"/>
    <x v="1"/>
    <x v="1"/>
    <x v="1"/>
    <n v="102035.16"/>
    <x v="1"/>
  </r>
  <r>
    <n v="300"/>
    <s v="Taylor"/>
    <n v="466"/>
    <x v="1"/>
    <x v="1"/>
    <n v="91"/>
    <x v="6"/>
    <n v="58953.35"/>
    <x v="2"/>
    <x v="0"/>
    <x v="0"/>
    <n v="140486.14000000001"/>
    <x v="1"/>
  </r>
  <r>
    <n v="301"/>
    <s v="Smith"/>
    <n v="531"/>
    <x v="0"/>
    <x v="1"/>
    <n v="68"/>
    <x v="10"/>
    <n v="25763.31"/>
    <x v="1"/>
    <x v="0"/>
    <x v="1"/>
    <n v="31564.75"/>
    <x v="0"/>
  </r>
  <r>
    <n v="302"/>
    <s v="Miller"/>
    <n v="585"/>
    <x v="1"/>
    <x v="0"/>
    <n v="35"/>
    <x v="3"/>
    <n v="205498.11"/>
    <x v="3"/>
    <x v="1"/>
    <x v="1"/>
    <n v="24566"/>
    <x v="1"/>
  </r>
  <r>
    <n v="303"/>
    <s v="Brown"/>
    <n v="543"/>
    <x v="0"/>
    <x v="0"/>
    <n v="89"/>
    <x v="6"/>
    <n v="248060.86"/>
    <x v="0"/>
    <x v="1"/>
    <x v="0"/>
    <n v="105985.33"/>
    <x v="1"/>
  </r>
  <r>
    <n v="304"/>
    <s v="Williams"/>
    <n v="649"/>
    <x v="2"/>
    <x v="0"/>
    <n v="74"/>
    <x v="2"/>
    <n v="39932.25"/>
    <x v="0"/>
    <x v="0"/>
    <x v="0"/>
    <n v="20310.53"/>
    <x v="0"/>
  </r>
  <r>
    <n v="305"/>
    <s v="Brown"/>
    <n v="429"/>
    <x v="2"/>
    <x v="0"/>
    <n v="53"/>
    <x v="10"/>
    <n v="187975.23"/>
    <x v="1"/>
    <x v="0"/>
    <x v="0"/>
    <n v="137236.54"/>
    <x v="1"/>
  </r>
  <r>
    <n v="306"/>
    <s v="Miller"/>
    <n v="412"/>
    <x v="1"/>
    <x v="1"/>
    <n v="91"/>
    <x v="7"/>
    <n v="71844.740000000005"/>
    <x v="1"/>
    <x v="1"/>
    <x v="1"/>
    <n v="105880.01"/>
    <x v="0"/>
  </r>
  <r>
    <n v="307"/>
    <s v="Jones"/>
    <n v="682"/>
    <x v="1"/>
    <x v="1"/>
    <n v="65"/>
    <x v="7"/>
    <n v="82186.16"/>
    <x v="1"/>
    <x v="0"/>
    <x v="0"/>
    <n v="118581.88"/>
    <x v="0"/>
  </r>
  <r>
    <n v="308"/>
    <s v="Jones"/>
    <n v="397"/>
    <x v="1"/>
    <x v="1"/>
    <n v="66"/>
    <x v="1"/>
    <n v="232462.02"/>
    <x v="2"/>
    <x v="0"/>
    <x v="1"/>
    <n v="135716.10999999999"/>
    <x v="1"/>
  </r>
  <r>
    <n v="309"/>
    <s v="Wilson"/>
    <n v="426"/>
    <x v="0"/>
    <x v="0"/>
    <n v="89"/>
    <x v="7"/>
    <n v="178130.78"/>
    <x v="0"/>
    <x v="1"/>
    <x v="1"/>
    <n v="21570.41"/>
    <x v="0"/>
  </r>
  <r>
    <n v="310"/>
    <s v="Moore"/>
    <n v="499"/>
    <x v="1"/>
    <x v="1"/>
    <n v="85"/>
    <x v="5"/>
    <n v="203018.63"/>
    <x v="3"/>
    <x v="0"/>
    <x v="1"/>
    <n v="57175.83"/>
    <x v="1"/>
  </r>
  <r>
    <n v="311"/>
    <s v="Davis"/>
    <n v="470"/>
    <x v="2"/>
    <x v="0"/>
    <n v="89"/>
    <x v="2"/>
    <n v="113690.36"/>
    <x v="2"/>
    <x v="1"/>
    <x v="1"/>
    <n v="87583.039999999994"/>
    <x v="1"/>
  </r>
  <r>
    <n v="312"/>
    <s v="Smith"/>
    <n v="624"/>
    <x v="1"/>
    <x v="0"/>
    <n v="80"/>
    <x v="5"/>
    <n v="81815.67"/>
    <x v="2"/>
    <x v="1"/>
    <x v="0"/>
    <n v="129536.99"/>
    <x v="0"/>
  </r>
  <r>
    <n v="313"/>
    <s v="Moore"/>
    <n v="695"/>
    <x v="2"/>
    <x v="1"/>
    <n v="90"/>
    <x v="3"/>
    <n v="34576.69"/>
    <x v="2"/>
    <x v="1"/>
    <x v="0"/>
    <n v="87838.32"/>
    <x v="1"/>
  </r>
  <r>
    <n v="314"/>
    <s v="Davis"/>
    <n v="363"/>
    <x v="0"/>
    <x v="0"/>
    <n v="55"/>
    <x v="0"/>
    <n v="156344.54"/>
    <x v="3"/>
    <x v="1"/>
    <x v="0"/>
    <n v="90381.04"/>
    <x v="1"/>
  </r>
  <r>
    <n v="315"/>
    <s v="Brown"/>
    <n v="572"/>
    <x v="2"/>
    <x v="0"/>
    <n v="23"/>
    <x v="2"/>
    <n v="169958.77"/>
    <x v="3"/>
    <x v="0"/>
    <x v="0"/>
    <n v="90227.36"/>
    <x v="1"/>
  </r>
  <r>
    <n v="316"/>
    <s v="Wilson"/>
    <n v="442"/>
    <x v="2"/>
    <x v="1"/>
    <n v="73"/>
    <x v="8"/>
    <n v="232599.36"/>
    <x v="0"/>
    <x v="1"/>
    <x v="1"/>
    <n v="103203.97"/>
    <x v="0"/>
  </r>
  <r>
    <n v="317"/>
    <s v="Brown"/>
    <n v="586"/>
    <x v="0"/>
    <x v="1"/>
    <n v="64"/>
    <x v="10"/>
    <n v="31288.48"/>
    <x v="3"/>
    <x v="1"/>
    <x v="0"/>
    <n v="111373.48"/>
    <x v="0"/>
  </r>
  <r>
    <n v="318"/>
    <s v="Johnson"/>
    <n v="455"/>
    <x v="2"/>
    <x v="0"/>
    <n v="56"/>
    <x v="4"/>
    <n v="184265.11"/>
    <x v="1"/>
    <x v="0"/>
    <x v="0"/>
    <n v="106046.27"/>
    <x v="1"/>
  </r>
  <r>
    <n v="319"/>
    <s v="Jones"/>
    <n v="563"/>
    <x v="0"/>
    <x v="0"/>
    <n v="67"/>
    <x v="1"/>
    <n v="136635"/>
    <x v="1"/>
    <x v="0"/>
    <x v="1"/>
    <n v="29342.26"/>
    <x v="1"/>
  </r>
  <r>
    <n v="320"/>
    <s v="Jones"/>
    <n v="356"/>
    <x v="0"/>
    <x v="1"/>
    <n v="26"/>
    <x v="5"/>
    <n v="114332.53"/>
    <x v="0"/>
    <x v="1"/>
    <x v="0"/>
    <n v="148688.76999999999"/>
    <x v="1"/>
  </r>
  <r>
    <n v="321"/>
    <s v="Taylor"/>
    <n v="450"/>
    <x v="0"/>
    <x v="0"/>
    <n v="83"/>
    <x v="2"/>
    <n v="188229.59"/>
    <x v="3"/>
    <x v="1"/>
    <x v="0"/>
    <n v="129283.37"/>
    <x v="1"/>
  </r>
  <r>
    <n v="322"/>
    <s v="Williams"/>
    <n v="398"/>
    <x v="2"/>
    <x v="0"/>
    <n v="84"/>
    <x v="2"/>
    <n v="151818.88"/>
    <x v="0"/>
    <x v="0"/>
    <x v="0"/>
    <n v="76167.42"/>
    <x v="0"/>
  </r>
  <r>
    <n v="323"/>
    <s v="Davis"/>
    <n v="390"/>
    <x v="0"/>
    <x v="0"/>
    <n v="80"/>
    <x v="4"/>
    <n v="25688.61"/>
    <x v="0"/>
    <x v="1"/>
    <x v="1"/>
    <n v="100083.34"/>
    <x v="1"/>
  </r>
  <r>
    <n v="324"/>
    <s v="Williams"/>
    <n v="760"/>
    <x v="1"/>
    <x v="1"/>
    <n v="34"/>
    <x v="7"/>
    <n v="104789.1"/>
    <x v="3"/>
    <x v="0"/>
    <x v="0"/>
    <n v="47420.92"/>
    <x v="1"/>
  </r>
  <r>
    <n v="325"/>
    <s v="Jones"/>
    <n v="508"/>
    <x v="2"/>
    <x v="0"/>
    <n v="79"/>
    <x v="5"/>
    <n v="248917.55"/>
    <x v="2"/>
    <x v="0"/>
    <x v="0"/>
    <n v="126187.32"/>
    <x v="0"/>
  </r>
  <r>
    <n v="326"/>
    <s v="Davis"/>
    <n v="739"/>
    <x v="2"/>
    <x v="0"/>
    <n v="84"/>
    <x v="0"/>
    <n v="191888.81"/>
    <x v="3"/>
    <x v="0"/>
    <x v="0"/>
    <n v="94143.76"/>
    <x v="1"/>
  </r>
  <r>
    <n v="327"/>
    <s v="Wilson"/>
    <n v="493"/>
    <x v="1"/>
    <x v="0"/>
    <n v="29"/>
    <x v="9"/>
    <n v="190645.09"/>
    <x v="1"/>
    <x v="0"/>
    <x v="1"/>
    <n v="46765.52"/>
    <x v="1"/>
  </r>
  <r>
    <n v="328"/>
    <s v="Williams"/>
    <n v="797"/>
    <x v="1"/>
    <x v="1"/>
    <n v="49"/>
    <x v="9"/>
    <n v="230551.53"/>
    <x v="3"/>
    <x v="0"/>
    <x v="1"/>
    <n v="127716.72"/>
    <x v="1"/>
  </r>
  <r>
    <n v="329"/>
    <s v="Wilson"/>
    <n v="835"/>
    <x v="1"/>
    <x v="0"/>
    <n v="28"/>
    <x v="8"/>
    <n v="182346.37"/>
    <x v="2"/>
    <x v="0"/>
    <x v="0"/>
    <n v="23783.4"/>
    <x v="0"/>
  </r>
  <r>
    <n v="330"/>
    <s v="Johnson"/>
    <n v="387"/>
    <x v="1"/>
    <x v="1"/>
    <n v="38"/>
    <x v="4"/>
    <n v="211996.17"/>
    <x v="3"/>
    <x v="0"/>
    <x v="0"/>
    <n v="45722.09"/>
    <x v="0"/>
  </r>
  <r>
    <n v="331"/>
    <s v="Miller"/>
    <n v="409"/>
    <x v="0"/>
    <x v="0"/>
    <n v="32"/>
    <x v="10"/>
    <n v="100270.85"/>
    <x v="1"/>
    <x v="0"/>
    <x v="1"/>
    <n v="57238.53"/>
    <x v="0"/>
  </r>
  <r>
    <n v="332"/>
    <s v="Davis"/>
    <n v="463"/>
    <x v="2"/>
    <x v="1"/>
    <n v="70"/>
    <x v="9"/>
    <n v="100036.16"/>
    <x v="1"/>
    <x v="1"/>
    <x v="0"/>
    <n v="27387.77"/>
    <x v="1"/>
  </r>
  <r>
    <n v="333"/>
    <s v="Smith"/>
    <n v="445"/>
    <x v="2"/>
    <x v="1"/>
    <n v="89"/>
    <x v="5"/>
    <n v="239257.96"/>
    <x v="2"/>
    <x v="1"/>
    <x v="0"/>
    <n v="75002.11"/>
    <x v="0"/>
  </r>
  <r>
    <n v="334"/>
    <s v="Smith"/>
    <n v="702"/>
    <x v="1"/>
    <x v="1"/>
    <n v="47"/>
    <x v="3"/>
    <n v="189373.41"/>
    <x v="2"/>
    <x v="0"/>
    <x v="1"/>
    <n v="117202.4"/>
    <x v="1"/>
  </r>
  <r>
    <n v="335"/>
    <s v="Jones"/>
    <n v="846"/>
    <x v="0"/>
    <x v="1"/>
    <n v="23"/>
    <x v="1"/>
    <n v="117828.86"/>
    <x v="1"/>
    <x v="1"/>
    <x v="0"/>
    <n v="67005.429999999993"/>
    <x v="1"/>
  </r>
  <r>
    <n v="336"/>
    <s v="Johnson"/>
    <n v="558"/>
    <x v="0"/>
    <x v="0"/>
    <n v="32"/>
    <x v="3"/>
    <n v="122399.16"/>
    <x v="1"/>
    <x v="1"/>
    <x v="0"/>
    <n v="107283.07"/>
    <x v="0"/>
  </r>
  <r>
    <n v="337"/>
    <s v="Taylor"/>
    <n v="638"/>
    <x v="1"/>
    <x v="1"/>
    <n v="69"/>
    <x v="6"/>
    <n v="4147.6899999999996"/>
    <x v="3"/>
    <x v="1"/>
    <x v="0"/>
    <n v="37164.6"/>
    <x v="1"/>
  </r>
  <r>
    <n v="338"/>
    <s v="Taylor"/>
    <n v="412"/>
    <x v="1"/>
    <x v="0"/>
    <n v="50"/>
    <x v="0"/>
    <n v="57433.4"/>
    <x v="0"/>
    <x v="0"/>
    <x v="0"/>
    <n v="125784.2"/>
    <x v="1"/>
  </r>
  <r>
    <n v="339"/>
    <s v="Miller"/>
    <n v="744"/>
    <x v="1"/>
    <x v="1"/>
    <n v="41"/>
    <x v="0"/>
    <n v="117825.55"/>
    <x v="0"/>
    <x v="1"/>
    <x v="1"/>
    <n v="33868.199999999997"/>
    <x v="1"/>
  </r>
  <r>
    <n v="340"/>
    <s v="Miller"/>
    <n v="746"/>
    <x v="1"/>
    <x v="1"/>
    <n v="24"/>
    <x v="8"/>
    <n v="73449.679999999993"/>
    <x v="2"/>
    <x v="0"/>
    <x v="0"/>
    <n v="108174.82"/>
    <x v="1"/>
  </r>
  <r>
    <n v="341"/>
    <s v="Wilson"/>
    <n v="443"/>
    <x v="0"/>
    <x v="0"/>
    <n v="91"/>
    <x v="9"/>
    <n v="245454.02"/>
    <x v="2"/>
    <x v="1"/>
    <x v="0"/>
    <n v="49422.5"/>
    <x v="1"/>
  </r>
  <r>
    <n v="342"/>
    <s v="Moore"/>
    <n v="670"/>
    <x v="2"/>
    <x v="0"/>
    <n v="83"/>
    <x v="4"/>
    <n v="28880.560000000001"/>
    <x v="0"/>
    <x v="0"/>
    <x v="1"/>
    <n v="124392.15"/>
    <x v="0"/>
  </r>
  <r>
    <n v="343"/>
    <s v="Moore"/>
    <n v="763"/>
    <x v="0"/>
    <x v="0"/>
    <n v="88"/>
    <x v="10"/>
    <n v="126389.5"/>
    <x v="1"/>
    <x v="0"/>
    <x v="0"/>
    <n v="145049.72"/>
    <x v="1"/>
  </r>
  <r>
    <n v="344"/>
    <s v="Wilson"/>
    <n v="696"/>
    <x v="2"/>
    <x v="1"/>
    <n v="58"/>
    <x v="6"/>
    <n v="2478.15"/>
    <x v="2"/>
    <x v="0"/>
    <x v="1"/>
    <n v="118783.64"/>
    <x v="1"/>
  </r>
  <r>
    <n v="345"/>
    <s v="Smith"/>
    <n v="837"/>
    <x v="2"/>
    <x v="1"/>
    <n v="78"/>
    <x v="7"/>
    <n v="68129.600000000006"/>
    <x v="3"/>
    <x v="1"/>
    <x v="0"/>
    <n v="17554.759999999998"/>
    <x v="1"/>
  </r>
  <r>
    <n v="346"/>
    <s v="Moore"/>
    <n v="500"/>
    <x v="2"/>
    <x v="0"/>
    <n v="54"/>
    <x v="0"/>
    <n v="56107.72"/>
    <x v="0"/>
    <x v="0"/>
    <x v="0"/>
    <n v="15514.32"/>
    <x v="0"/>
  </r>
  <r>
    <n v="347"/>
    <s v="Miller"/>
    <n v="753"/>
    <x v="0"/>
    <x v="1"/>
    <n v="30"/>
    <x v="0"/>
    <n v="151272.32999999999"/>
    <x v="3"/>
    <x v="1"/>
    <x v="0"/>
    <n v="12942.16"/>
    <x v="0"/>
  </r>
  <r>
    <n v="348"/>
    <s v="Moore"/>
    <n v="739"/>
    <x v="1"/>
    <x v="1"/>
    <n v="53"/>
    <x v="7"/>
    <n v="221804.74"/>
    <x v="3"/>
    <x v="1"/>
    <x v="1"/>
    <n v="140925.68"/>
    <x v="0"/>
  </r>
  <r>
    <n v="349"/>
    <s v="Taylor"/>
    <n v="642"/>
    <x v="1"/>
    <x v="0"/>
    <n v="80"/>
    <x v="6"/>
    <n v="141610.87"/>
    <x v="1"/>
    <x v="0"/>
    <x v="0"/>
    <n v="35048.160000000003"/>
    <x v="0"/>
  </r>
  <r>
    <n v="350"/>
    <s v="Moore"/>
    <n v="433"/>
    <x v="0"/>
    <x v="0"/>
    <n v="87"/>
    <x v="3"/>
    <n v="161025.64000000001"/>
    <x v="2"/>
    <x v="0"/>
    <x v="1"/>
    <n v="129607.96"/>
    <x v="0"/>
  </r>
  <r>
    <n v="351"/>
    <s v="Jones"/>
    <n v="477"/>
    <x v="0"/>
    <x v="0"/>
    <n v="80"/>
    <x v="0"/>
    <n v="69980.850000000006"/>
    <x v="2"/>
    <x v="0"/>
    <x v="0"/>
    <n v="112678.04"/>
    <x v="0"/>
  </r>
  <r>
    <n v="352"/>
    <s v="Miller"/>
    <n v="834"/>
    <x v="2"/>
    <x v="0"/>
    <n v="76"/>
    <x v="9"/>
    <n v="77216.62"/>
    <x v="2"/>
    <x v="1"/>
    <x v="0"/>
    <n v="104636.55"/>
    <x v="1"/>
  </r>
  <r>
    <n v="353"/>
    <s v="Johnson"/>
    <n v="611"/>
    <x v="0"/>
    <x v="1"/>
    <n v="36"/>
    <x v="8"/>
    <n v="124751.31"/>
    <x v="1"/>
    <x v="1"/>
    <x v="0"/>
    <n v="16581.23"/>
    <x v="1"/>
  </r>
  <r>
    <n v="354"/>
    <s v="Wilson"/>
    <n v="698"/>
    <x v="2"/>
    <x v="1"/>
    <n v="18"/>
    <x v="6"/>
    <n v="142139.92000000001"/>
    <x v="3"/>
    <x v="1"/>
    <x v="1"/>
    <n v="89777.41"/>
    <x v="0"/>
  </r>
  <r>
    <n v="355"/>
    <s v="Brown"/>
    <n v="810"/>
    <x v="0"/>
    <x v="0"/>
    <n v="19"/>
    <x v="4"/>
    <n v="136582.23000000001"/>
    <x v="3"/>
    <x v="0"/>
    <x v="0"/>
    <n v="146255.76999999999"/>
    <x v="1"/>
  </r>
  <r>
    <n v="356"/>
    <s v="Taylor"/>
    <n v="504"/>
    <x v="1"/>
    <x v="1"/>
    <n v="39"/>
    <x v="3"/>
    <n v="65011.59"/>
    <x v="3"/>
    <x v="0"/>
    <x v="1"/>
    <n v="100509.25"/>
    <x v="1"/>
  </r>
  <r>
    <n v="357"/>
    <s v="Williams"/>
    <n v="591"/>
    <x v="1"/>
    <x v="1"/>
    <n v="31"/>
    <x v="9"/>
    <n v="36493.35"/>
    <x v="3"/>
    <x v="0"/>
    <x v="0"/>
    <n v="50480.54"/>
    <x v="1"/>
  </r>
  <r>
    <n v="358"/>
    <s v="Smith"/>
    <n v="433"/>
    <x v="1"/>
    <x v="1"/>
    <n v="85"/>
    <x v="2"/>
    <n v="92093.09"/>
    <x v="2"/>
    <x v="1"/>
    <x v="1"/>
    <n v="117465.12"/>
    <x v="1"/>
  </r>
  <r>
    <n v="359"/>
    <s v="Moore"/>
    <n v="746"/>
    <x v="0"/>
    <x v="1"/>
    <n v="35"/>
    <x v="6"/>
    <n v="196029.87"/>
    <x v="2"/>
    <x v="0"/>
    <x v="0"/>
    <n v="77933.48"/>
    <x v="0"/>
  </r>
  <r>
    <n v="360"/>
    <s v="Williams"/>
    <n v="836"/>
    <x v="2"/>
    <x v="1"/>
    <n v="23"/>
    <x v="1"/>
    <n v="149033.25"/>
    <x v="3"/>
    <x v="1"/>
    <x v="0"/>
    <n v="26370.52"/>
    <x v="1"/>
  </r>
  <r>
    <n v="361"/>
    <s v="Wilson"/>
    <n v="485"/>
    <x v="1"/>
    <x v="1"/>
    <n v="44"/>
    <x v="9"/>
    <n v="45468.26"/>
    <x v="3"/>
    <x v="0"/>
    <x v="1"/>
    <n v="132665.07999999999"/>
    <x v="0"/>
  </r>
  <r>
    <n v="362"/>
    <s v="Moore"/>
    <n v="530"/>
    <x v="2"/>
    <x v="0"/>
    <n v="81"/>
    <x v="5"/>
    <n v="58304.43"/>
    <x v="1"/>
    <x v="1"/>
    <x v="0"/>
    <n v="122633.44"/>
    <x v="0"/>
  </r>
  <r>
    <n v="363"/>
    <s v="Brown"/>
    <n v="430"/>
    <x v="1"/>
    <x v="1"/>
    <n v="45"/>
    <x v="10"/>
    <n v="226048.06"/>
    <x v="2"/>
    <x v="0"/>
    <x v="1"/>
    <n v="13741.1"/>
    <x v="1"/>
  </r>
  <r>
    <n v="364"/>
    <s v="Brown"/>
    <n v="763"/>
    <x v="2"/>
    <x v="1"/>
    <n v="59"/>
    <x v="3"/>
    <n v="99046.96"/>
    <x v="2"/>
    <x v="0"/>
    <x v="0"/>
    <n v="15699.41"/>
    <x v="0"/>
  </r>
  <r>
    <n v="365"/>
    <s v="Johnson"/>
    <n v="350"/>
    <x v="0"/>
    <x v="1"/>
    <n v="31"/>
    <x v="5"/>
    <n v="213425.22"/>
    <x v="3"/>
    <x v="1"/>
    <x v="0"/>
    <n v="36418.230000000003"/>
    <x v="1"/>
  </r>
  <r>
    <n v="366"/>
    <s v="Wilson"/>
    <n v="565"/>
    <x v="0"/>
    <x v="0"/>
    <n v="63"/>
    <x v="0"/>
    <n v="244367.77"/>
    <x v="2"/>
    <x v="0"/>
    <x v="1"/>
    <n v="130825.14"/>
    <x v="0"/>
  </r>
  <r>
    <n v="367"/>
    <s v="Miller"/>
    <n v="557"/>
    <x v="2"/>
    <x v="1"/>
    <n v="66"/>
    <x v="4"/>
    <n v="89466.82"/>
    <x v="2"/>
    <x v="0"/>
    <x v="1"/>
    <n v="37239.08"/>
    <x v="1"/>
  </r>
  <r>
    <n v="368"/>
    <s v="Taylor"/>
    <n v="680"/>
    <x v="0"/>
    <x v="1"/>
    <n v="74"/>
    <x v="5"/>
    <n v="3229.42"/>
    <x v="3"/>
    <x v="1"/>
    <x v="0"/>
    <n v="139041.32999999999"/>
    <x v="1"/>
  </r>
  <r>
    <n v="369"/>
    <s v="Brown"/>
    <n v="602"/>
    <x v="2"/>
    <x v="1"/>
    <n v="76"/>
    <x v="9"/>
    <n v="181947.19"/>
    <x v="0"/>
    <x v="1"/>
    <x v="1"/>
    <n v="81521.02"/>
    <x v="0"/>
  </r>
  <r>
    <n v="370"/>
    <s v="Johnson"/>
    <n v="481"/>
    <x v="0"/>
    <x v="1"/>
    <n v="35"/>
    <x v="0"/>
    <n v="121359.53"/>
    <x v="0"/>
    <x v="1"/>
    <x v="0"/>
    <n v="50215.32"/>
    <x v="1"/>
  </r>
  <r>
    <n v="371"/>
    <s v="Davis"/>
    <n v="411"/>
    <x v="0"/>
    <x v="1"/>
    <n v="25"/>
    <x v="2"/>
    <n v="221855.45"/>
    <x v="0"/>
    <x v="1"/>
    <x v="1"/>
    <n v="27505.16"/>
    <x v="0"/>
  </r>
  <r>
    <n v="372"/>
    <s v="Taylor"/>
    <n v="673"/>
    <x v="2"/>
    <x v="0"/>
    <n v="44"/>
    <x v="3"/>
    <n v="42307.27"/>
    <x v="2"/>
    <x v="0"/>
    <x v="0"/>
    <n v="91193.31"/>
    <x v="1"/>
  </r>
  <r>
    <n v="373"/>
    <s v="Wilson"/>
    <n v="494"/>
    <x v="1"/>
    <x v="1"/>
    <n v="35"/>
    <x v="6"/>
    <n v="60811.89"/>
    <x v="1"/>
    <x v="0"/>
    <x v="0"/>
    <n v="135514.51"/>
    <x v="0"/>
  </r>
  <r>
    <n v="374"/>
    <s v="Johnson"/>
    <n v="718"/>
    <x v="1"/>
    <x v="1"/>
    <n v="86"/>
    <x v="4"/>
    <n v="117910.43"/>
    <x v="2"/>
    <x v="0"/>
    <x v="0"/>
    <n v="96850.83"/>
    <x v="0"/>
  </r>
  <r>
    <n v="375"/>
    <s v="Jones"/>
    <n v="807"/>
    <x v="1"/>
    <x v="0"/>
    <n v="61"/>
    <x v="5"/>
    <n v="33943.949999999997"/>
    <x v="3"/>
    <x v="0"/>
    <x v="1"/>
    <n v="70802.91"/>
    <x v="0"/>
  </r>
  <r>
    <n v="376"/>
    <s v="Davis"/>
    <n v="434"/>
    <x v="2"/>
    <x v="0"/>
    <n v="65"/>
    <x v="2"/>
    <n v="90083.5"/>
    <x v="1"/>
    <x v="1"/>
    <x v="1"/>
    <n v="97501.27"/>
    <x v="0"/>
  </r>
  <r>
    <n v="377"/>
    <s v="Wilson"/>
    <n v="466"/>
    <x v="1"/>
    <x v="1"/>
    <n v="90"/>
    <x v="9"/>
    <n v="3890.93"/>
    <x v="3"/>
    <x v="1"/>
    <x v="1"/>
    <n v="112863.73"/>
    <x v="1"/>
  </r>
  <r>
    <n v="378"/>
    <s v="Jones"/>
    <n v="579"/>
    <x v="0"/>
    <x v="1"/>
    <n v="76"/>
    <x v="8"/>
    <n v="200445.11"/>
    <x v="1"/>
    <x v="0"/>
    <x v="1"/>
    <n v="43482.28"/>
    <x v="0"/>
  </r>
  <r>
    <n v="379"/>
    <s v="Miller"/>
    <n v="605"/>
    <x v="1"/>
    <x v="1"/>
    <n v="45"/>
    <x v="3"/>
    <n v="25176.02"/>
    <x v="1"/>
    <x v="1"/>
    <x v="1"/>
    <n v="47799.89"/>
    <x v="0"/>
  </r>
  <r>
    <n v="380"/>
    <s v="Miller"/>
    <n v="662"/>
    <x v="0"/>
    <x v="0"/>
    <n v="24"/>
    <x v="1"/>
    <n v="148964.49"/>
    <x v="1"/>
    <x v="0"/>
    <x v="0"/>
    <n v="134929.35"/>
    <x v="1"/>
  </r>
  <r>
    <n v="381"/>
    <s v="Wilson"/>
    <n v="668"/>
    <x v="1"/>
    <x v="1"/>
    <n v="25"/>
    <x v="5"/>
    <n v="65557.83"/>
    <x v="1"/>
    <x v="0"/>
    <x v="1"/>
    <n v="119298.33"/>
    <x v="1"/>
  </r>
  <r>
    <n v="382"/>
    <s v="Taylor"/>
    <n v="790"/>
    <x v="1"/>
    <x v="0"/>
    <n v="71"/>
    <x v="8"/>
    <n v="7503.74"/>
    <x v="0"/>
    <x v="0"/>
    <x v="1"/>
    <n v="111705.43"/>
    <x v="1"/>
  </r>
  <r>
    <n v="383"/>
    <s v="Johnson"/>
    <n v="398"/>
    <x v="2"/>
    <x v="1"/>
    <n v="44"/>
    <x v="7"/>
    <n v="27423.79"/>
    <x v="1"/>
    <x v="0"/>
    <x v="1"/>
    <n v="103883.72"/>
    <x v="1"/>
  </r>
  <r>
    <n v="384"/>
    <s v="Taylor"/>
    <n v="495"/>
    <x v="0"/>
    <x v="0"/>
    <n v="55"/>
    <x v="9"/>
    <n v="174803.79"/>
    <x v="1"/>
    <x v="0"/>
    <x v="1"/>
    <n v="82707.83"/>
    <x v="1"/>
  </r>
  <r>
    <n v="385"/>
    <s v="Miller"/>
    <n v="723"/>
    <x v="0"/>
    <x v="0"/>
    <n v="67"/>
    <x v="4"/>
    <n v="222765.58"/>
    <x v="3"/>
    <x v="0"/>
    <x v="1"/>
    <n v="60737.81"/>
    <x v="0"/>
  </r>
  <r>
    <n v="386"/>
    <s v="Smith"/>
    <n v="791"/>
    <x v="0"/>
    <x v="0"/>
    <n v="38"/>
    <x v="9"/>
    <n v="13669.44"/>
    <x v="3"/>
    <x v="0"/>
    <x v="1"/>
    <n v="64850.98"/>
    <x v="0"/>
  </r>
  <r>
    <n v="387"/>
    <s v="Jones"/>
    <n v="359"/>
    <x v="1"/>
    <x v="1"/>
    <n v="74"/>
    <x v="10"/>
    <n v="70359.16"/>
    <x v="0"/>
    <x v="1"/>
    <x v="1"/>
    <n v="21108.79"/>
    <x v="0"/>
  </r>
  <r>
    <n v="388"/>
    <s v="Moore"/>
    <n v="842"/>
    <x v="1"/>
    <x v="1"/>
    <n v="79"/>
    <x v="9"/>
    <n v="99607.93"/>
    <x v="1"/>
    <x v="0"/>
    <x v="1"/>
    <n v="134066.89000000001"/>
    <x v="0"/>
  </r>
  <r>
    <n v="389"/>
    <s v="Brown"/>
    <n v="540"/>
    <x v="2"/>
    <x v="1"/>
    <n v="73"/>
    <x v="0"/>
    <n v="244670.66"/>
    <x v="3"/>
    <x v="0"/>
    <x v="1"/>
    <n v="12942.78"/>
    <x v="0"/>
  </r>
  <r>
    <n v="390"/>
    <s v="Johnson"/>
    <n v="429"/>
    <x v="2"/>
    <x v="1"/>
    <n v="41"/>
    <x v="10"/>
    <n v="110666.99"/>
    <x v="1"/>
    <x v="1"/>
    <x v="1"/>
    <n v="128261.18"/>
    <x v="1"/>
  </r>
  <r>
    <n v="391"/>
    <s v="Brown"/>
    <n v="580"/>
    <x v="2"/>
    <x v="1"/>
    <n v="75"/>
    <x v="1"/>
    <n v="206215.22"/>
    <x v="1"/>
    <x v="1"/>
    <x v="1"/>
    <n v="73777.070000000007"/>
    <x v="1"/>
  </r>
  <r>
    <n v="392"/>
    <s v="Davis"/>
    <n v="556"/>
    <x v="1"/>
    <x v="0"/>
    <n v="27"/>
    <x v="2"/>
    <n v="70279.97"/>
    <x v="2"/>
    <x v="1"/>
    <x v="0"/>
    <n v="35799.879999999997"/>
    <x v="1"/>
  </r>
  <r>
    <n v="393"/>
    <s v="Smith"/>
    <n v="767"/>
    <x v="2"/>
    <x v="1"/>
    <n v="18"/>
    <x v="1"/>
    <n v="117042.43"/>
    <x v="1"/>
    <x v="1"/>
    <x v="0"/>
    <n v="97218.44"/>
    <x v="1"/>
  </r>
  <r>
    <n v="394"/>
    <s v="Jones"/>
    <n v="738"/>
    <x v="0"/>
    <x v="1"/>
    <n v="37"/>
    <x v="0"/>
    <n v="206465.41"/>
    <x v="3"/>
    <x v="0"/>
    <x v="1"/>
    <n v="81839.69"/>
    <x v="0"/>
  </r>
  <r>
    <n v="395"/>
    <s v="Johnson"/>
    <n v="750"/>
    <x v="2"/>
    <x v="1"/>
    <n v="89"/>
    <x v="0"/>
    <n v="192173.02"/>
    <x v="2"/>
    <x v="1"/>
    <x v="1"/>
    <n v="99695.37"/>
    <x v="1"/>
  </r>
  <r>
    <n v="396"/>
    <s v="Brown"/>
    <n v="578"/>
    <x v="1"/>
    <x v="0"/>
    <n v="68"/>
    <x v="4"/>
    <n v="59641.51"/>
    <x v="2"/>
    <x v="1"/>
    <x v="0"/>
    <n v="61207.9"/>
    <x v="1"/>
  </r>
  <r>
    <n v="397"/>
    <s v="Brown"/>
    <n v="677"/>
    <x v="2"/>
    <x v="1"/>
    <n v="56"/>
    <x v="0"/>
    <n v="63179.37"/>
    <x v="3"/>
    <x v="1"/>
    <x v="1"/>
    <n v="121798.16"/>
    <x v="0"/>
  </r>
  <r>
    <n v="398"/>
    <s v="Brown"/>
    <n v="668"/>
    <x v="0"/>
    <x v="1"/>
    <n v="85"/>
    <x v="9"/>
    <n v="137118.25"/>
    <x v="1"/>
    <x v="0"/>
    <x v="1"/>
    <n v="69952.509999999995"/>
    <x v="1"/>
  </r>
  <r>
    <n v="399"/>
    <s v="Smith"/>
    <n v="629"/>
    <x v="0"/>
    <x v="1"/>
    <n v="48"/>
    <x v="8"/>
    <n v="234503.75"/>
    <x v="1"/>
    <x v="0"/>
    <x v="0"/>
    <n v="64388.61"/>
    <x v="0"/>
  </r>
  <r>
    <n v="400"/>
    <s v="Smith"/>
    <n v="697"/>
    <x v="0"/>
    <x v="0"/>
    <n v="55"/>
    <x v="1"/>
    <n v="29981.98"/>
    <x v="1"/>
    <x v="0"/>
    <x v="0"/>
    <n v="97693.26"/>
    <x v="1"/>
  </r>
  <r>
    <n v="401"/>
    <s v="Moore"/>
    <n v="716"/>
    <x v="1"/>
    <x v="1"/>
    <n v="74"/>
    <x v="5"/>
    <n v="193015.5"/>
    <x v="2"/>
    <x v="1"/>
    <x v="0"/>
    <n v="127051.78"/>
    <x v="0"/>
  </r>
  <r>
    <n v="402"/>
    <s v="Brown"/>
    <n v="357"/>
    <x v="0"/>
    <x v="1"/>
    <n v="23"/>
    <x v="3"/>
    <n v="184400.14"/>
    <x v="3"/>
    <x v="0"/>
    <x v="1"/>
    <n v="22278.37"/>
    <x v="0"/>
  </r>
  <r>
    <n v="403"/>
    <s v="Miller"/>
    <n v="628"/>
    <x v="2"/>
    <x v="0"/>
    <n v="77"/>
    <x v="4"/>
    <n v="212693.91"/>
    <x v="2"/>
    <x v="0"/>
    <x v="1"/>
    <n v="71242.42"/>
    <x v="1"/>
  </r>
  <r>
    <n v="404"/>
    <s v="Taylor"/>
    <n v="704"/>
    <x v="2"/>
    <x v="1"/>
    <n v="79"/>
    <x v="5"/>
    <n v="222300.09"/>
    <x v="2"/>
    <x v="1"/>
    <x v="0"/>
    <n v="76217.14"/>
    <x v="1"/>
  </r>
  <r>
    <n v="405"/>
    <s v="Jones"/>
    <n v="508"/>
    <x v="0"/>
    <x v="0"/>
    <n v="49"/>
    <x v="6"/>
    <n v="220856.36"/>
    <x v="1"/>
    <x v="1"/>
    <x v="1"/>
    <n v="84471.69"/>
    <x v="1"/>
  </r>
  <r>
    <n v="406"/>
    <s v="Jones"/>
    <n v="596"/>
    <x v="1"/>
    <x v="1"/>
    <n v="88"/>
    <x v="8"/>
    <n v="225228.97"/>
    <x v="0"/>
    <x v="1"/>
    <x v="1"/>
    <n v="55636.3"/>
    <x v="1"/>
  </r>
  <r>
    <n v="407"/>
    <s v="Williams"/>
    <n v="430"/>
    <x v="0"/>
    <x v="1"/>
    <n v="35"/>
    <x v="4"/>
    <n v="245176.21"/>
    <x v="1"/>
    <x v="1"/>
    <x v="1"/>
    <n v="35708.43"/>
    <x v="1"/>
  </r>
  <r>
    <n v="408"/>
    <s v="Johnson"/>
    <n v="505"/>
    <x v="2"/>
    <x v="0"/>
    <n v="49"/>
    <x v="0"/>
    <n v="83107.39"/>
    <x v="0"/>
    <x v="1"/>
    <x v="1"/>
    <n v="41989.11"/>
    <x v="0"/>
  </r>
  <r>
    <n v="409"/>
    <s v="Williams"/>
    <n v="397"/>
    <x v="2"/>
    <x v="0"/>
    <n v="49"/>
    <x v="5"/>
    <n v="232252.83"/>
    <x v="3"/>
    <x v="1"/>
    <x v="1"/>
    <n v="44531.43"/>
    <x v="0"/>
  </r>
  <r>
    <n v="410"/>
    <s v="Johnson"/>
    <n v="845"/>
    <x v="0"/>
    <x v="1"/>
    <n v="57"/>
    <x v="1"/>
    <n v="236890.08"/>
    <x v="2"/>
    <x v="1"/>
    <x v="0"/>
    <n v="67984.02"/>
    <x v="1"/>
  </r>
  <r>
    <n v="411"/>
    <s v="Jones"/>
    <n v="464"/>
    <x v="1"/>
    <x v="1"/>
    <n v="68"/>
    <x v="0"/>
    <n v="162045.57"/>
    <x v="1"/>
    <x v="1"/>
    <x v="0"/>
    <n v="87532.67"/>
    <x v="1"/>
  </r>
  <r>
    <n v="412"/>
    <s v="Brown"/>
    <n v="361"/>
    <x v="2"/>
    <x v="1"/>
    <n v="56"/>
    <x v="1"/>
    <n v="166147.69"/>
    <x v="3"/>
    <x v="0"/>
    <x v="0"/>
    <n v="56454.41"/>
    <x v="1"/>
  </r>
  <r>
    <n v="413"/>
    <s v="Johnson"/>
    <n v="821"/>
    <x v="1"/>
    <x v="1"/>
    <n v="86"/>
    <x v="7"/>
    <n v="89639.64"/>
    <x v="0"/>
    <x v="0"/>
    <x v="0"/>
    <n v="125590.02"/>
    <x v="1"/>
  </r>
  <r>
    <n v="414"/>
    <s v="Johnson"/>
    <n v="684"/>
    <x v="0"/>
    <x v="1"/>
    <n v="57"/>
    <x v="8"/>
    <n v="186325.98"/>
    <x v="2"/>
    <x v="1"/>
    <x v="0"/>
    <n v="76620.289999999994"/>
    <x v="0"/>
  </r>
  <r>
    <n v="415"/>
    <s v="Smith"/>
    <n v="837"/>
    <x v="2"/>
    <x v="0"/>
    <n v="31"/>
    <x v="6"/>
    <n v="150640.24"/>
    <x v="2"/>
    <x v="1"/>
    <x v="0"/>
    <n v="52816.7"/>
    <x v="1"/>
  </r>
  <r>
    <n v="416"/>
    <s v="Wilson"/>
    <n v="636"/>
    <x v="2"/>
    <x v="1"/>
    <n v="53"/>
    <x v="1"/>
    <n v="196579.74"/>
    <x v="3"/>
    <x v="0"/>
    <x v="0"/>
    <n v="58389.15"/>
    <x v="1"/>
  </r>
  <r>
    <n v="417"/>
    <s v="Moore"/>
    <n v="440"/>
    <x v="2"/>
    <x v="0"/>
    <n v="29"/>
    <x v="4"/>
    <n v="38378.400000000001"/>
    <x v="3"/>
    <x v="1"/>
    <x v="0"/>
    <n v="148498.85"/>
    <x v="1"/>
  </r>
  <r>
    <n v="418"/>
    <s v="Brown"/>
    <n v="640"/>
    <x v="2"/>
    <x v="1"/>
    <n v="72"/>
    <x v="7"/>
    <n v="203648.16"/>
    <x v="3"/>
    <x v="1"/>
    <x v="0"/>
    <n v="102614.36"/>
    <x v="1"/>
  </r>
  <r>
    <n v="419"/>
    <s v="Jones"/>
    <n v="404"/>
    <x v="2"/>
    <x v="1"/>
    <n v="54"/>
    <x v="5"/>
    <n v="180845.4"/>
    <x v="1"/>
    <x v="1"/>
    <x v="1"/>
    <n v="67354.759999999995"/>
    <x v="1"/>
  </r>
  <r>
    <n v="420"/>
    <s v="Davis"/>
    <n v="687"/>
    <x v="2"/>
    <x v="1"/>
    <n v="69"/>
    <x v="1"/>
    <n v="136486.32999999999"/>
    <x v="2"/>
    <x v="1"/>
    <x v="0"/>
    <n v="135558.76"/>
    <x v="0"/>
  </r>
  <r>
    <n v="421"/>
    <s v="Miller"/>
    <n v="513"/>
    <x v="0"/>
    <x v="0"/>
    <n v="52"/>
    <x v="8"/>
    <n v="64929.13"/>
    <x v="3"/>
    <x v="0"/>
    <x v="1"/>
    <n v="117045.7"/>
    <x v="0"/>
  </r>
  <r>
    <n v="422"/>
    <s v="Jones"/>
    <n v="421"/>
    <x v="2"/>
    <x v="1"/>
    <n v="76"/>
    <x v="8"/>
    <n v="24418.55"/>
    <x v="0"/>
    <x v="1"/>
    <x v="1"/>
    <n v="131045.9"/>
    <x v="0"/>
  </r>
  <r>
    <n v="423"/>
    <s v="Williams"/>
    <n v="715"/>
    <x v="2"/>
    <x v="1"/>
    <n v="46"/>
    <x v="2"/>
    <n v="121208.33"/>
    <x v="1"/>
    <x v="0"/>
    <x v="0"/>
    <n v="32556.34"/>
    <x v="1"/>
  </r>
  <r>
    <n v="424"/>
    <s v="Taylor"/>
    <n v="665"/>
    <x v="0"/>
    <x v="0"/>
    <n v="27"/>
    <x v="10"/>
    <n v="36155.39"/>
    <x v="0"/>
    <x v="1"/>
    <x v="0"/>
    <n v="122338.51"/>
    <x v="1"/>
  </r>
  <r>
    <n v="425"/>
    <s v="Moore"/>
    <n v="462"/>
    <x v="2"/>
    <x v="0"/>
    <n v="26"/>
    <x v="10"/>
    <n v="190443.29"/>
    <x v="2"/>
    <x v="0"/>
    <x v="0"/>
    <n v="77215.990000000005"/>
    <x v="1"/>
  </r>
  <r>
    <n v="426"/>
    <s v="Johnson"/>
    <n v="771"/>
    <x v="2"/>
    <x v="1"/>
    <n v="35"/>
    <x v="1"/>
    <n v="231139.73"/>
    <x v="2"/>
    <x v="0"/>
    <x v="0"/>
    <n v="19540.71"/>
    <x v="1"/>
  </r>
  <r>
    <n v="427"/>
    <s v="Brown"/>
    <n v="418"/>
    <x v="0"/>
    <x v="1"/>
    <n v="43"/>
    <x v="0"/>
    <n v="205080.33"/>
    <x v="0"/>
    <x v="1"/>
    <x v="1"/>
    <n v="22885.14"/>
    <x v="1"/>
  </r>
  <r>
    <n v="428"/>
    <s v="Smith"/>
    <n v="787"/>
    <x v="2"/>
    <x v="1"/>
    <n v="77"/>
    <x v="8"/>
    <n v="82614.73"/>
    <x v="1"/>
    <x v="0"/>
    <x v="0"/>
    <n v="90275.78"/>
    <x v="0"/>
  </r>
  <r>
    <n v="429"/>
    <s v="Moore"/>
    <n v="363"/>
    <x v="2"/>
    <x v="1"/>
    <n v="77"/>
    <x v="3"/>
    <n v="36501.089999999997"/>
    <x v="3"/>
    <x v="0"/>
    <x v="1"/>
    <n v="64420.160000000003"/>
    <x v="1"/>
  </r>
  <r>
    <n v="430"/>
    <s v="Jones"/>
    <n v="451"/>
    <x v="0"/>
    <x v="0"/>
    <n v="76"/>
    <x v="5"/>
    <n v="1978.31"/>
    <x v="3"/>
    <x v="0"/>
    <x v="0"/>
    <n v="19915.18"/>
    <x v="1"/>
  </r>
  <r>
    <n v="431"/>
    <s v="Taylor"/>
    <n v="625"/>
    <x v="2"/>
    <x v="0"/>
    <n v="36"/>
    <x v="3"/>
    <n v="165914.53"/>
    <x v="3"/>
    <x v="0"/>
    <x v="0"/>
    <n v="71091.44"/>
    <x v="0"/>
  </r>
  <r>
    <n v="432"/>
    <s v="Davis"/>
    <n v="713"/>
    <x v="0"/>
    <x v="1"/>
    <n v="30"/>
    <x v="3"/>
    <n v="46903.02"/>
    <x v="3"/>
    <x v="0"/>
    <x v="1"/>
    <n v="120900.9"/>
    <x v="0"/>
  </r>
  <r>
    <n v="433"/>
    <s v="Davis"/>
    <n v="614"/>
    <x v="2"/>
    <x v="0"/>
    <n v="19"/>
    <x v="3"/>
    <n v="179138.58"/>
    <x v="3"/>
    <x v="1"/>
    <x v="0"/>
    <n v="40101.64"/>
    <x v="1"/>
  </r>
  <r>
    <n v="434"/>
    <s v="Johnson"/>
    <n v="702"/>
    <x v="2"/>
    <x v="0"/>
    <n v="45"/>
    <x v="8"/>
    <n v="143858.20000000001"/>
    <x v="0"/>
    <x v="1"/>
    <x v="1"/>
    <n v="111156.24"/>
    <x v="1"/>
  </r>
  <r>
    <n v="435"/>
    <s v="Wilson"/>
    <n v="559"/>
    <x v="0"/>
    <x v="0"/>
    <n v="28"/>
    <x v="6"/>
    <n v="117504.37"/>
    <x v="0"/>
    <x v="0"/>
    <x v="1"/>
    <n v="69683.199999999997"/>
    <x v="1"/>
  </r>
  <r>
    <n v="436"/>
    <s v="Moore"/>
    <n v="547"/>
    <x v="1"/>
    <x v="0"/>
    <n v="85"/>
    <x v="6"/>
    <n v="191884.81"/>
    <x v="1"/>
    <x v="0"/>
    <x v="1"/>
    <n v="56017.64"/>
    <x v="1"/>
  </r>
  <r>
    <n v="437"/>
    <s v="Miller"/>
    <n v="730"/>
    <x v="0"/>
    <x v="0"/>
    <n v="79"/>
    <x v="10"/>
    <n v="245266.56"/>
    <x v="2"/>
    <x v="0"/>
    <x v="1"/>
    <n v="68485.740000000005"/>
    <x v="1"/>
  </r>
  <r>
    <n v="438"/>
    <s v="Brown"/>
    <n v="450"/>
    <x v="1"/>
    <x v="1"/>
    <n v="34"/>
    <x v="4"/>
    <n v="32148.54"/>
    <x v="3"/>
    <x v="1"/>
    <x v="1"/>
    <n v="99026.41"/>
    <x v="0"/>
  </r>
  <r>
    <n v="439"/>
    <s v="Wilson"/>
    <n v="735"/>
    <x v="1"/>
    <x v="1"/>
    <n v="45"/>
    <x v="5"/>
    <n v="137629.67000000001"/>
    <x v="2"/>
    <x v="1"/>
    <x v="1"/>
    <n v="63609.91"/>
    <x v="0"/>
  </r>
  <r>
    <n v="440"/>
    <s v="Jones"/>
    <n v="603"/>
    <x v="2"/>
    <x v="0"/>
    <n v="24"/>
    <x v="3"/>
    <n v="78305.72"/>
    <x v="3"/>
    <x v="1"/>
    <x v="1"/>
    <n v="84684"/>
    <x v="0"/>
  </r>
  <r>
    <n v="441"/>
    <s v="Davis"/>
    <n v="507"/>
    <x v="0"/>
    <x v="1"/>
    <n v="18"/>
    <x v="0"/>
    <n v="6988.85"/>
    <x v="3"/>
    <x v="0"/>
    <x v="1"/>
    <n v="20477.41"/>
    <x v="1"/>
  </r>
  <r>
    <n v="442"/>
    <s v="Jones"/>
    <n v="739"/>
    <x v="1"/>
    <x v="0"/>
    <n v="25"/>
    <x v="7"/>
    <n v="7336.57"/>
    <x v="0"/>
    <x v="0"/>
    <x v="0"/>
    <n v="102957.36"/>
    <x v="1"/>
  </r>
  <r>
    <n v="443"/>
    <s v="Miller"/>
    <n v="814"/>
    <x v="1"/>
    <x v="0"/>
    <n v="43"/>
    <x v="10"/>
    <n v="144405.5"/>
    <x v="1"/>
    <x v="1"/>
    <x v="1"/>
    <n v="30241.09"/>
    <x v="1"/>
  </r>
  <r>
    <n v="444"/>
    <s v="Brown"/>
    <n v="580"/>
    <x v="1"/>
    <x v="0"/>
    <n v="85"/>
    <x v="10"/>
    <n v="20728.86"/>
    <x v="3"/>
    <x v="1"/>
    <x v="1"/>
    <n v="33648.46"/>
    <x v="1"/>
  </r>
  <r>
    <n v="445"/>
    <s v="Wilson"/>
    <n v="774"/>
    <x v="1"/>
    <x v="0"/>
    <n v="77"/>
    <x v="5"/>
    <n v="10982.07"/>
    <x v="2"/>
    <x v="0"/>
    <x v="0"/>
    <n v="107521.29"/>
    <x v="0"/>
  </r>
  <r>
    <n v="446"/>
    <s v="Jones"/>
    <n v="500"/>
    <x v="0"/>
    <x v="0"/>
    <n v="54"/>
    <x v="3"/>
    <n v="43219.63"/>
    <x v="1"/>
    <x v="1"/>
    <x v="1"/>
    <n v="148736.87"/>
    <x v="1"/>
  </r>
  <r>
    <n v="447"/>
    <s v="Smith"/>
    <n v="380"/>
    <x v="2"/>
    <x v="1"/>
    <n v="62"/>
    <x v="0"/>
    <n v="114966.17"/>
    <x v="0"/>
    <x v="1"/>
    <x v="1"/>
    <n v="136504.93"/>
    <x v="1"/>
  </r>
  <r>
    <n v="448"/>
    <s v="Davis"/>
    <n v="605"/>
    <x v="2"/>
    <x v="1"/>
    <n v="90"/>
    <x v="2"/>
    <n v="125191.91"/>
    <x v="3"/>
    <x v="1"/>
    <x v="1"/>
    <n v="74035.929999999993"/>
    <x v="1"/>
  </r>
  <r>
    <n v="449"/>
    <s v="Taylor"/>
    <n v="369"/>
    <x v="1"/>
    <x v="1"/>
    <n v="56"/>
    <x v="0"/>
    <n v="228816.63"/>
    <x v="0"/>
    <x v="0"/>
    <x v="1"/>
    <n v="52394"/>
    <x v="0"/>
  </r>
  <r>
    <n v="450"/>
    <s v="Jones"/>
    <n v="610"/>
    <x v="2"/>
    <x v="1"/>
    <n v="60"/>
    <x v="5"/>
    <n v="104917.3"/>
    <x v="3"/>
    <x v="1"/>
    <x v="1"/>
    <n v="72303.199999999997"/>
    <x v="1"/>
  </r>
  <r>
    <n v="451"/>
    <s v="Wilson"/>
    <n v="498"/>
    <x v="1"/>
    <x v="1"/>
    <n v="54"/>
    <x v="10"/>
    <n v="26944.7"/>
    <x v="2"/>
    <x v="1"/>
    <x v="0"/>
    <n v="88360.27"/>
    <x v="0"/>
  </r>
  <r>
    <n v="452"/>
    <s v="Davis"/>
    <n v="712"/>
    <x v="2"/>
    <x v="1"/>
    <n v="86"/>
    <x v="3"/>
    <n v="57728.98"/>
    <x v="1"/>
    <x v="0"/>
    <x v="1"/>
    <n v="46958.37"/>
    <x v="0"/>
  </r>
  <r>
    <n v="453"/>
    <s v="Davis"/>
    <n v="424"/>
    <x v="2"/>
    <x v="1"/>
    <n v="31"/>
    <x v="10"/>
    <n v="236352.17"/>
    <x v="2"/>
    <x v="1"/>
    <x v="0"/>
    <n v="111036.69"/>
    <x v="1"/>
  </r>
  <r>
    <n v="454"/>
    <s v="Moore"/>
    <n v="473"/>
    <x v="0"/>
    <x v="0"/>
    <n v="31"/>
    <x v="8"/>
    <n v="148788.01"/>
    <x v="3"/>
    <x v="0"/>
    <x v="1"/>
    <n v="13370.94"/>
    <x v="1"/>
  </r>
  <r>
    <n v="455"/>
    <s v="Smith"/>
    <n v="801"/>
    <x v="1"/>
    <x v="1"/>
    <n v="59"/>
    <x v="9"/>
    <n v="88835.65"/>
    <x v="3"/>
    <x v="0"/>
    <x v="0"/>
    <n v="141964.46"/>
    <x v="0"/>
  </r>
  <r>
    <n v="456"/>
    <s v="Moore"/>
    <n v="564"/>
    <x v="0"/>
    <x v="1"/>
    <n v="90"/>
    <x v="6"/>
    <n v="223177.88"/>
    <x v="0"/>
    <x v="0"/>
    <x v="1"/>
    <n v="111640.94"/>
    <x v="0"/>
  </r>
  <r>
    <n v="457"/>
    <s v="Jones"/>
    <n v="666"/>
    <x v="2"/>
    <x v="0"/>
    <n v="24"/>
    <x v="4"/>
    <n v="75143.55"/>
    <x v="1"/>
    <x v="0"/>
    <x v="0"/>
    <n v="132228.18"/>
    <x v="0"/>
  </r>
  <r>
    <n v="458"/>
    <s v="Miller"/>
    <n v="579"/>
    <x v="1"/>
    <x v="1"/>
    <n v="30"/>
    <x v="6"/>
    <n v="220273.68"/>
    <x v="2"/>
    <x v="1"/>
    <x v="0"/>
    <n v="57395.97"/>
    <x v="0"/>
  </r>
  <r>
    <n v="459"/>
    <s v="Taylor"/>
    <n v="600"/>
    <x v="1"/>
    <x v="0"/>
    <n v="21"/>
    <x v="8"/>
    <n v="30283.43"/>
    <x v="1"/>
    <x v="1"/>
    <x v="0"/>
    <n v="140478.74"/>
    <x v="1"/>
  </r>
  <r>
    <n v="460"/>
    <s v="Jones"/>
    <n v="443"/>
    <x v="1"/>
    <x v="1"/>
    <n v="34"/>
    <x v="7"/>
    <n v="234557.34"/>
    <x v="3"/>
    <x v="1"/>
    <x v="1"/>
    <n v="148617.01"/>
    <x v="1"/>
  </r>
  <r>
    <n v="461"/>
    <s v="Williams"/>
    <n v="519"/>
    <x v="1"/>
    <x v="0"/>
    <n v="23"/>
    <x v="3"/>
    <n v="234421.59"/>
    <x v="2"/>
    <x v="0"/>
    <x v="0"/>
    <n v="35122.36"/>
    <x v="1"/>
  </r>
  <r>
    <n v="462"/>
    <s v="Wilson"/>
    <n v="390"/>
    <x v="1"/>
    <x v="1"/>
    <n v="58"/>
    <x v="4"/>
    <n v="86317.46"/>
    <x v="0"/>
    <x v="1"/>
    <x v="0"/>
    <n v="90411.33"/>
    <x v="1"/>
  </r>
  <r>
    <n v="463"/>
    <s v="Smith"/>
    <n v="538"/>
    <x v="1"/>
    <x v="0"/>
    <n v="73"/>
    <x v="6"/>
    <n v="4387.1899999999996"/>
    <x v="3"/>
    <x v="0"/>
    <x v="0"/>
    <n v="131348.78"/>
    <x v="1"/>
  </r>
  <r>
    <n v="464"/>
    <s v="Jones"/>
    <n v="559"/>
    <x v="2"/>
    <x v="1"/>
    <n v="47"/>
    <x v="8"/>
    <n v="88260.36"/>
    <x v="0"/>
    <x v="1"/>
    <x v="1"/>
    <n v="16813.419999999998"/>
    <x v="1"/>
  </r>
  <r>
    <n v="465"/>
    <s v="Smith"/>
    <n v="529"/>
    <x v="1"/>
    <x v="0"/>
    <n v="71"/>
    <x v="4"/>
    <n v="45202.75"/>
    <x v="2"/>
    <x v="0"/>
    <x v="0"/>
    <n v="118614.97"/>
    <x v="0"/>
  </r>
  <r>
    <n v="466"/>
    <s v="Jones"/>
    <n v="646"/>
    <x v="2"/>
    <x v="1"/>
    <n v="40"/>
    <x v="0"/>
    <n v="66516.78"/>
    <x v="2"/>
    <x v="0"/>
    <x v="0"/>
    <n v="14893.47"/>
    <x v="1"/>
  </r>
  <r>
    <n v="467"/>
    <s v="Miller"/>
    <n v="409"/>
    <x v="0"/>
    <x v="1"/>
    <n v="41"/>
    <x v="1"/>
    <n v="156420.72"/>
    <x v="3"/>
    <x v="0"/>
    <x v="1"/>
    <n v="101660.52"/>
    <x v="0"/>
  </r>
  <r>
    <n v="468"/>
    <s v="Johnson"/>
    <n v="840"/>
    <x v="2"/>
    <x v="0"/>
    <n v="54"/>
    <x v="6"/>
    <n v="110774.55"/>
    <x v="3"/>
    <x v="1"/>
    <x v="0"/>
    <n v="23399.15"/>
    <x v="1"/>
  </r>
  <r>
    <n v="469"/>
    <s v="Taylor"/>
    <n v="828"/>
    <x v="0"/>
    <x v="0"/>
    <n v="77"/>
    <x v="5"/>
    <n v="184078.17"/>
    <x v="0"/>
    <x v="0"/>
    <x v="1"/>
    <n v="24061.040000000001"/>
    <x v="1"/>
  </r>
  <r>
    <n v="470"/>
    <s v="Williams"/>
    <n v="379"/>
    <x v="1"/>
    <x v="1"/>
    <n v="52"/>
    <x v="2"/>
    <n v="159259.26"/>
    <x v="3"/>
    <x v="0"/>
    <x v="1"/>
    <n v="50254.16"/>
    <x v="0"/>
  </r>
  <r>
    <n v="471"/>
    <s v="Taylor"/>
    <n v="575"/>
    <x v="2"/>
    <x v="1"/>
    <n v="88"/>
    <x v="8"/>
    <n v="75139.3"/>
    <x v="1"/>
    <x v="1"/>
    <x v="1"/>
    <n v="62313.56"/>
    <x v="0"/>
  </r>
  <r>
    <n v="472"/>
    <s v="Brown"/>
    <n v="444"/>
    <x v="2"/>
    <x v="1"/>
    <n v="24"/>
    <x v="10"/>
    <n v="80969.13"/>
    <x v="1"/>
    <x v="0"/>
    <x v="0"/>
    <n v="80855.009999999995"/>
    <x v="1"/>
  </r>
  <r>
    <n v="473"/>
    <s v="Taylor"/>
    <n v="588"/>
    <x v="2"/>
    <x v="0"/>
    <n v="35"/>
    <x v="9"/>
    <n v="199536.6"/>
    <x v="0"/>
    <x v="0"/>
    <x v="1"/>
    <n v="19461.59"/>
    <x v="1"/>
  </r>
  <r>
    <n v="474"/>
    <s v="Johnson"/>
    <n v="515"/>
    <x v="0"/>
    <x v="0"/>
    <n v="66"/>
    <x v="3"/>
    <n v="133040.76"/>
    <x v="0"/>
    <x v="1"/>
    <x v="0"/>
    <n v="64833.38"/>
    <x v="0"/>
  </r>
  <r>
    <n v="475"/>
    <s v="Jones"/>
    <n v="732"/>
    <x v="1"/>
    <x v="0"/>
    <n v="55"/>
    <x v="5"/>
    <n v="31845.15"/>
    <x v="3"/>
    <x v="0"/>
    <x v="1"/>
    <n v="144035.23000000001"/>
    <x v="1"/>
  </r>
  <r>
    <n v="476"/>
    <s v="Williams"/>
    <n v="566"/>
    <x v="2"/>
    <x v="0"/>
    <n v="18"/>
    <x v="5"/>
    <n v="146680.78"/>
    <x v="3"/>
    <x v="1"/>
    <x v="0"/>
    <n v="76895.64"/>
    <x v="0"/>
  </r>
  <r>
    <n v="477"/>
    <s v="Brown"/>
    <n v="622"/>
    <x v="0"/>
    <x v="0"/>
    <n v="22"/>
    <x v="3"/>
    <n v="34494.730000000003"/>
    <x v="1"/>
    <x v="0"/>
    <x v="1"/>
    <n v="146557.31"/>
    <x v="0"/>
  </r>
  <r>
    <n v="478"/>
    <s v="Taylor"/>
    <n v="705"/>
    <x v="2"/>
    <x v="0"/>
    <n v="78"/>
    <x v="4"/>
    <n v="217177.04"/>
    <x v="0"/>
    <x v="1"/>
    <x v="0"/>
    <n v="142428.82999999999"/>
    <x v="1"/>
  </r>
  <r>
    <n v="479"/>
    <s v="Wilson"/>
    <n v="517"/>
    <x v="2"/>
    <x v="1"/>
    <n v="28"/>
    <x v="2"/>
    <n v="32317.55"/>
    <x v="0"/>
    <x v="0"/>
    <x v="0"/>
    <n v="48172.94"/>
    <x v="1"/>
  </r>
  <r>
    <n v="480"/>
    <s v="Brown"/>
    <n v="507"/>
    <x v="2"/>
    <x v="0"/>
    <n v="47"/>
    <x v="7"/>
    <n v="167352.03"/>
    <x v="1"/>
    <x v="1"/>
    <x v="1"/>
    <n v="124013.91"/>
    <x v="0"/>
  </r>
  <r>
    <n v="481"/>
    <s v="Taylor"/>
    <n v="415"/>
    <x v="2"/>
    <x v="1"/>
    <n v="31"/>
    <x v="6"/>
    <n v="224202.59"/>
    <x v="0"/>
    <x v="0"/>
    <x v="0"/>
    <n v="58513.24"/>
    <x v="0"/>
  </r>
  <r>
    <n v="482"/>
    <s v="Brown"/>
    <n v="629"/>
    <x v="0"/>
    <x v="0"/>
    <n v="37"/>
    <x v="10"/>
    <n v="24530.880000000001"/>
    <x v="3"/>
    <x v="0"/>
    <x v="0"/>
    <n v="100372.28"/>
    <x v="0"/>
  </r>
  <r>
    <n v="483"/>
    <s v="Johnson"/>
    <n v="550"/>
    <x v="1"/>
    <x v="0"/>
    <n v="59"/>
    <x v="6"/>
    <n v="132558.04"/>
    <x v="0"/>
    <x v="0"/>
    <x v="0"/>
    <n v="55627.46"/>
    <x v="0"/>
  </r>
  <r>
    <n v="484"/>
    <s v="Williams"/>
    <n v="734"/>
    <x v="1"/>
    <x v="0"/>
    <n v="62"/>
    <x v="4"/>
    <n v="239522.72"/>
    <x v="0"/>
    <x v="1"/>
    <x v="1"/>
    <n v="37534.69"/>
    <x v="0"/>
  </r>
  <r>
    <n v="485"/>
    <s v="Wilson"/>
    <n v="437"/>
    <x v="2"/>
    <x v="1"/>
    <n v="69"/>
    <x v="1"/>
    <n v="69485.69"/>
    <x v="3"/>
    <x v="0"/>
    <x v="1"/>
    <n v="91069.46"/>
    <x v="0"/>
  </r>
  <r>
    <n v="486"/>
    <s v="Williams"/>
    <n v="643"/>
    <x v="0"/>
    <x v="0"/>
    <n v="34"/>
    <x v="1"/>
    <n v="70266.98"/>
    <x v="3"/>
    <x v="1"/>
    <x v="1"/>
    <n v="129097.79"/>
    <x v="1"/>
  </r>
  <r>
    <n v="487"/>
    <s v="Jones"/>
    <n v="717"/>
    <x v="1"/>
    <x v="1"/>
    <n v="55"/>
    <x v="1"/>
    <n v="117513.1"/>
    <x v="1"/>
    <x v="1"/>
    <x v="0"/>
    <n v="143986.04"/>
    <x v="1"/>
  </r>
  <r>
    <n v="488"/>
    <s v="Taylor"/>
    <n v="797"/>
    <x v="1"/>
    <x v="1"/>
    <n v="32"/>
    <x v="9"/>
    <n v="236925.82"/>
    <x v="1"/>
    <x v="1"/>
    <x v="1"/>
    <n v="46753.37"/>
    <x v="1"/>
  </r>
  <r>
    <n v="489"/>
    <s v="Wilson"/>
    <n v="760"/>
    <x v="2"/>
    <x v="0"/>
    <n v="54"/>
    <x v="6"/>
    <n v="200253.42"/>
    <x v="1"/>
    <x v="0"/>
    <x v="1"/>
    <n v="105135.87"/>
    <x v="0"/>
  </r>
  <r>
    <n v="490"/>
    <s v="Miller"/>
    <n v="567"/>
    <x v="2"/>
    <x v="0"/>
    <n v="22"/>
    <x v="10"/>
    <n v="67796.41"/>
    <x v="2"/>
    <x v="0"/>
    <x v="1"/>
    <n v="125551.64"/>
    <x v="0"/>
  </r>
  <r>
    <n v="491"/>
    <s v="Miller"/>
    <n v="695"/>
    <x v="0"/>
    <x v="0"/>
    <n v="65"/>
    <x v="6"/>
    <n v="57896.34"/>
    <x v="2"/>
    <x v="0"/>
    <x v="1"/>
    <n v="39633.65"/>
    <x v="0"/>
  </r>
  <r>
    <n v="492"/>
    <s v="Williams"/>
    <n v="484"/>
    <x v="1"/>
    <x v="1"/>
    <n v="18"/>
    <x v="7"/>
    <n v="49654.19"/>
    <x v="0"/>
    <x v="1"/>
    <x v="1"/>
    <n v="81684.84"/>
    <x v="1"/>
  </r>
  <r>
    <n v="493"/>
    <s v="Jones"/>
    <n v="566"/>
    <x v="2"/>
    <x v="1"/>
    <n v="67"/>
    <x v="9"/>
    <n v="107431.37"/>
    <x v="3"/>
    <x v="0"/>
    <x v="0"/>
    <n v="136772.28"/>
    <x v="0"/>
  </r>
  <r>
    <n v="494"/>
    <s v="Miller"/>
    <n v="813"/>
    <x v="0"/>
    <x v="0"/>
    <n v="55"/>
    <x v="5"/>
    <n v="201976.42"/>
    <x v="0"/>
    <x v="1"/>
    <x v="1"/>
    <n v="131084.15"/>
    <x v="0"/>
  </r>
  <r>
    <n v="495"/>
    <s v="Smith"/>
    <n v="451"/>
    <x v="0"/>
    <x v="0"/>
    <n v="62"/>
    <x v="0"/>
    <n v="38075.550000000003"/>
    <x v="3"/>
    <x v="1"/>
    <x v="1"/>
    <n v="11580.61"/>
    <x v="0"/>
  </r>
  <r>
    <n v="496"/>
    <s v="Moore"/>
    <n v="647"/>
    <x v="0"/>
    <x v="0"/>
    <n v="87"/>
    <x v="0"/>
    <n v="154264.92000000001"/>
    <x v="3"/>
    <x v="0"/>
    <x v="0"/>
    <n v="97382.98"/>
    <x v="1"/>
  </r>
  <r>
    <n v="497"/>
    <s v="Smith"/>
    <n v="751"/>
    <x v="1"/>
    <x v="1"/>
    <n v="34"/>
    <x v="7"/>
    <n v="118072.6"/>
    <x v="0"/>
    <x v="1"/>
    <x v="1"/>
    <n v="98955.37"/>
    <x v="1"/>
  </r>
  <r>
    <n v="498"/>
    <s v="Wilson"/>
    <n v="814"/>
    <x v="1"/>
    <x v="1"/>
    <n v="34"/>
    <x v="10"/>
    <n v="161580.20000000001"/>
    <x v="0"/>
    <x v="1"/>
    <x v="0"/>
    <n v="148752.49"/>
    <x v="0"/>
  </r>
  <r>
    <n v="499"/>
    <s v="Miller"/>
    <n v="718"/>
    <x v="1"/>
    <x v="0"/>
    <n v="28"/>
    <x v="3"/>
    <n v="100871.3"/>
    <x v="2"/>
    <x v="1"/>
    <x v="0"/>
    <n v="106391.64"/>
    <x v="1"/>
  </r>
  <r>
    <n v="500"/>
    <s v="Davis"/>
    <n v="393"/>
    <x v="0"/>
    <x v="0"/>
    <n v="23"/>
    <x v="10"/>
    <n v="189955.55"/>
    <x v="0"/>
    <x v="0"/>
    <x v="1"/>
    <n v="85565.1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E916BA-C7FB-43D7-9821-30AA6982AC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showAll="0"/>
    <pivotField dataField="1"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CreditScore" fld="2"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27911-4C9F-43CB-80EE-E21B69D895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3">
    <pivotField showAll="0"/>
    <pivotField showAll="0"/>
    <pivotField showAll="0"/>
    <pivotField axis="axisRow" showAll="0">
      <items count="4">
        <item x="2"/>
        <item x="0"/>
        <item x="1"/>
        <item t="default"/>
      </items>
    </pivotField>
    <pivotField axis="axisCol" showAll="0">
      <items count="3">
        <item x="1"/>
        <item x="0"/>
        <item t="default"/>
      </items>
    </pivotField>
    <pivotField showAll="0"/>
    <pivotField showAll="0"/>
    <pivotField dataField="1" showAll="0"/>
    <pivotField showAll="0"/>
    <pivotField showAll="0"/>
    <pivotField showAll="0"/>
    <pivotField showAll="0"/>
    <pivotField showAll="0"/>
  </pivotFields>
  <rowFields count="1">
    <field x="3"/>
  </rowFields>
  <rowItems count="4">
    <i>
      <x/>
    </i>
    <i>
      <x v="1"/>
    </i>
    <i>
      <x v="2"/>
    </i>
    <i t="grand">
      <x/>
    </i>
  </rowItems>
  <colFields count="1">
    <field x="4"/>
  </colFields>
  <colItems count="3">
    <i>
      <x/>
    </i>
    <i>
      <x v="1"/>
    </i>
    <i t="grand">
      <x/>
    </i>
  </colItems>
  <dataFields count="1">
    <dataField name="Average of Balance" fld="7"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04D419-47B0-4C6F-A49E-1FAB4E0A8E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13">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Col" showAll="0">
      <items count="3">
        <item x="0"/>
        <item x="1"/>
        <item t="default"/>
      </items>
    </pivotField>
    <pivotField showAll="0"/>
    <pivotField showAll="0"/>
  </pivotFields>
  <rowFields count="1">
    <field x="9"/>
  </rowFields>
  <rowItems count="3">
    <i>
      <x/>
    </i>
    <i>
      <x v="1"/>
    </i>
    <i t="grand">
      <x/>
    </i>
  </rowItems>
  <colFields count="1">
    <field x="10"/>
  </colFields>
  <colItems count="3">
    <i>
      <x/>
    </i>
    <i>
      <x v="1"/>
    </i>
    <i t="grand">
      <x/>
    </i>
  </colItems>
  <dataFields count="1">
    <dataField name="Count of Customer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AA6745-3ECB-46CD-B1D7-A7871F39C8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3">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dataField="1" showAll="0"/>
  </pivotFields>
  <rowFields count="1">
    <field x="8"/>
  </rowFields>
  <rowItems count="5">
    <i>
      <x/>
    </i>
    <i>
      <x v="1"/>
    </i>
    <i>
      <x v="2"/>
    </i>
    <i>
      <x v="3"/>
    </i>
    <i t="grand">
      <x/>
    </i>
  </rowItems>
  <colFields count="1">
    <field x="-2"/>
  </colFields>
  <colItems count="2">
    <i>
      <x/>
    </i>
    <i i="1">
      <x v="1"/>
    </i>
  </colItems>
  <dataFields count="2">
    <dataField name="Total Customers" fld="12" subtotal="count" baseField="8" baseItem="0"/>
    <dataField name="Churn Rate" fld="12"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4E40B8-CB04-462F-B703-5F2BFE7F2B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1" firstDataRow="2" firstDataCol="1"/>
  <pivotFields count="13">
    <pivotField showAll="0"/>
    <pivotField showAll="0"/>
    <pivotField dataField="1" showAll="0"/>
    <pivotField showAll="0"/>
    <pivotField showAll="0"/>
    <pivotField showAll="0"/>
    <pivotField axis="axisRow" showAll="0">
      <items count="12">
        <item x="3"/>
        <item x="7"/>
        <item x="4"/>
        <item x="1"/>
        <item x="8"/>
        <item x="6"/>
        <item x="2"/>
        <item x="0"/>
        <item x="9"/>
        <item x="10"/>
        <item x="5"/>
        <item t="default"/>
      </items>
    </pivotField>
    <pivotField showAll="0"/>
    <pivotField showAll="0"/>
    <pivotField showAll="0"/>
    <pivotField showAll="0"/>
    <pivotField showAll="0"/>
    <pivotField axis="axisCol" showAll="0">
      <items count="3">
        <item x="0"/>
        <item x="1"/>
        <item t="default"/>
      </items>
    </pivotField>
  </pivotFields>
  <rowFields count="1">
    <field x="6"/>
  </rowFields>
  <rowItems count="12">
    <i>
      <x/>
    </i>
    <i>
      <x v="1"/>
    </i>
    <i>
      <x v="2"/>
    </i>
    <i>
      <x v="3"/>
    </i>
    <i>
      <x v="4"/>
    </i>
    <i>
      <x v="5"/>
    </i>
    <i>
      <x v="6"/>
    </i>
    <i>
      <x v="7"/>
    </i>
    <i>
      <x v="8"/>
    </i>
    <i>
      <x v="9"/>
    </i>
    <i>
      <x v="10"/>
    </i>
    <i t="grand">
      <x/>
    </i>
  </rowItems>
  <colFields count="1">
    <field x="12"/>
  </colFields>
  <colItems count="3">
    <i>
      <x/>
    </i>
    <i>
      <x v="1"/>
    </i>
    <i t="grand">
      <x/>
    </i>
  </colItems>
  <dataFields count="1">
    <dataField name="Average of CreditScore" fld="2"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F5CC-9534-4F84-8A32-AEEC1C8BF39A}">
  <dimension ref="A3:B9"/>
  <sheetViews>
    <sheetView workbookViewId="0">
      <selection activeCell="E13" sqref="E13"/>
    </sheetView>
  </sheetViews>
  <sheetFormatPr defaultRowHeight="14.5" x14ac:dyDescent="0.35"/>
  <cols>
    <col min="1" max="1" width="12.36328125" bestFit="1" customWidth="1"/>
    <col min="2" max="2" width="20" customWidth="1"/>
  </cols>
  <sheetData>
    <row r="3" spans="1:2" x14ac:dyDescent="0.35">
      <c r="A3" s="2" t="s">
        <v>28</v>
      </c>
      <c r="B3" t="s">
        <v>30</v>
      </c>
    </row>
    <row r="4" spans="1:2" x14ac:dyDescent="0.35">
      <c r="A4" s="3" t="s">
        <v>24</v>
      </c>
      <c r="B4">
        <v>592.54970760233914</v>
      </c>
    </row>
    <row r="5" spans="1:2" x14ac:dyDescent="0.35">
      <c r="A5" s="3" t="s">
        <v>22</v>
      </c>
      <c r="B5">
        <v>579.69426751592357</v>
      </c>
    </row>
    <row r="6" spans="1:2" x14ac:dyDescent="0.35">
      <c r="A6" s="3" t="s">
        <v>23</v>
      </c>
      <c r="B6">
        <v>600.98837209302326</v>
      </c>
    </row>
    <row r="7" spans="1:2" x14ac:dyDescent="0.35">
      <c r="A7" s="3" t="s">
        <v>29</v>
      </c>
      <c r="B7">
        <v>591.41600000000005</v>
      </c>
    </row>
    <row r="9" spans="1:2" x14ac:dyDescent="0.35">
      <c r="A9" s="4" t="s">
        <v>32</v>
      </c>
      <c r="B9"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04245-8B1B-457B-A3EE-DB915EB52C6A}">
  <dimension ref="A3:D10"/>
  <sheetViews>
    <sheetView workbookViewId="0">
      <selection activeCell="H14" sqref="H14"/>
    </sheetView>
  </sheetViews>
  <sheetFormatPr defaultRowHeight="14.5" x14ac:dyDescent="0.35"/>
  <cols>
    <col min="1" max="1" width="16.7265625" bestFit="1" customWidth="1"/>
    <col min="2" max="2" width="15.26953125" bestFit="1" customWidth="1"/>
    <col min="3" max="4" width="11.81640625" bestFit="1" customWidth="1"/>
  </cols>
  <sheetData>
    <row r="3" spans="1:4" x14ac:dyDescent="0.35">
      <c r="A3" s="2" t="s">
        <v>34</v>
      </c>
      <c r="B3" s="2" t="s">
        <v>33</v>
      </c>
    </row>
    <row r="4" spans="1:4" x14ac:dyDescent="0.35">
      <c r="A4" s="2" t="s">
        <v>28</v>
      </c>
      <c r="B4" t="s">
        <v>26</v>
      </c>
      <c r="C4" t="s">
        <v>25</v>
      </c>
      <c r="D4" t="s">
        <v>29</v>
      </c>
    </row>
    <row r="5" spans="1:4" x14ac:dyDescent="0.35">
      <c r="A5" s="3" t="s">
        <v>24</v>
      </c>
      <c r="B5">
        <v>129576.98854166669</v>
      </c>
      <c r="C5">
        <v>133204.7601333333</v>
      </c>
      <c r="D5">
        <v>131168.11643274853</v>
      </c>
    </row>
    <row r="6" spans="1:4" x14ac:dyDescent="0.35">
      <c r="A6" s="3" t="s">
        <v>22</v>
      </c>
      <c r="B6">
        <v>140888.27830985919</v>
      </c>
      <c r="C6">
        <v>128591.02465116282</v>
      </c>
      <c r="D6">
        <v>134152.20305732489</v>
      </c>
    </row>
    <row r="7" spans="1:4" x14ac:dyDescent="0.35">
      <c r="A7" s="3" t="s">
        <v>23</v>
      </c>
      <c r="B7">
        <v>120986.23747252743</v>
      </c>
      <c r="C7">
        <v>119667.1802469136</v>
      </c>
      <c r="D7">
        <v>120365.05354651152</v>
      </c>
    </row>
    <row r="8" spans="1:4" x14ac:dyDescent="0.35">
      <c r="A8" s="3" t="s">
        <v>29</v>
      </c>
      <c r="B8">
        <v>129659.71422480623</v>
      </c>
      <c r="C8">
        <v>127033.99475206609</v>
      </c>
      <c r="D8">
        <v>128388.86599999997</v>
      </c>
    </row>
    <row r="10" spans="1:4" x14ac:dyDescent="0.35">
      <c r="A10" s="4" t="s">
        <v>32</v>
      </c>
      <c r="B10"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968D-7F6F-4DFA-8F6D-3C40A5671EA0}">
  <dimension ref="A3:D9"/>
  <sheetViews>
    <sheetView workbookViewId="0">
      <selection activeCell="A9" sqref="A9"/>
    </sheetView>
  </sheetViews>
  <sheetFormatPr defaultRowHeight="14.5" x14ac:dyDescent="0.35"/>
  <cols>
    <col min="1" max="1" width="18.7265625" bestFit="1" customWidth="1"/>
    <col min="2" max="2" width="15.26953125" bestFit="1" customWidth="1"/>
    <col min="3" max="3" width="3.81640625" bestFit="1" customWidth="1"/>
    <col min="4" max="4" width="10.7265625" bestFit="1" customWidth="1"/>
  </cols>
  <sheetData>
    <row r="3" spans="1:4" x14ac:dyDescent="0.35">
      <c r="A3" s="2" t="s">
        <v>36</v>
      </c>
      <c r="B3" s="2" t="s">
        <v>33</v>
      </c>
    </row>
    <row r="4" spans="1:4" x14ac:dyDescent="0.35">
      <c r="A4" s="2" t="s">
        <v>28</v>
      </c>
      <c r="B4">
        <v>0</v>
      </c>
      <c r="C4">
        <v>1</v>
      </c>
      <c r="D4" t="s">
        <v>29</v>
      </c>
    </row>
    <row r="5" spans="1:4" x14ac:dyDescent="0.35">
      <c r="A5" s="3">
        <v>0</v>
      </c>
      <c r="B5">
        <v>140</v>
      </c>
      <c r="C5">
        <v>113</v>
      </c>
      <c r="D5">
        <v>253</v>
      </c>
    </row>
    <row r="6" spans="1:4" x14ac:dyDescent="0.35">
      <c r="A6" s="3">
        <v>1</v>
      </c>
      <c r="B6">
        <v>123</v>
      </c>
      <c r="C6">
        <v>124</v>
      </c>
      <c r="D6">
        <v>247</v>
      </c>
    </row>
    <row r="7" spans="1:4" x14ac:dyDescent="0.35">
      <c r="A7" s="3" t="s">
        <v>29</v>
      </c>
      <c r="B7">
        <v>263</v>
      </c>
      <c r="C7">
        <v>237</v>
      </c>
      <c r="D7">
        <v>500</v>
      </c>
    </row>
    <row r="8" spans="1:4" x14ac:dyDescent="0.35">
      <c r="A8" s="4" t="s">
        <v>37</v>
      </c>
    </row>
    <row r="9" spans="1:4" x14ac:dyDescent="0.35">
      <c r="A9"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1035-9802-4085-A315-C900357C5998}">
  <dimension ref="A3:C11"/>
  <sheetViews>
    <sheetView workbookViewId="0">
      <selection activeCell="C11" sqref="C11"/>
    </sheetView>
  </sheetViews>
  <sheetFormatPr defaultRowHeight="14.5" x14ac:dyDescent="0.35"/>
  <cols>
    <col min="1" max="1" width="12.36328125" bestFit="1" customWidth="1"/>
    <col min="2" max="2" width="14.6328125" bestFit="1" customWidth="1"/>
    <col min="3" max="3" width="11.81640625" bestFit="1" customWidth="1"/>
  </cols>
  <sheetData>
    <row r="3" spans="1:3" x14ac:dyDescent="0.35">
      <c r="A3" s="2" t="s">
        <v>28</v>
      </c>
      <c r="B3" t="s">
        <v>39</v>
      </c>
      <c r="C3" t="s">
        <v>40</v>
      </c>
    </row>
    <row r="4" spans="1:3" x14ac:dyDescent="0.35">
      <c r="A4" s="3">
        <v>1</v>
      </c>
      <c r="B4">
        <v>125</v>
      </c>
      <c r="C4">
        <v>0.55200000000000005</v>
      </c>
    </row>
    <row r="5" spans="1:3" x14ac:dyDescent="0.35">
      <c r="A5" s="3">
        <v>2</v>
      </c>
      <c r="B5">
        <v>135</v>
      </c>
      <c r="C5">
        <v>0.54814814814814816</v>
      </c>
    </row>
    <row r="6" spans="1:3" x14ac:dyDescent="0.35">
      <c r="A6" s="3">
        <v>3</v>
      </c>
      <c r="B6">
        <v>118</v>
      </c>
      <c r="C6">
        <v>0.55084745762711862</v>
      </c>
    </row>
    <row r="7" spans="1:3" x14ac:dyDescent="0.35">
      <c r="A7" s="3">
        <v>4</v>
      </c>
      <c r="B7">
        <v>122</v>
      </c>
      <c r="C7">
        <v>0.52459016393442626</v>
      </c>
    </row>
    <row r="8" spans="1:3" x14ac:dyDescent="0.35">
      <c r="A8" s="3" t="s">
        <v>29</v>
      </c>
      <c r="B8">
        <v>500</v>
      </c>
      <c r="C8">
        <v>0.54400000000000004</v>
      </c>
    </row>
    <row r="10" spans="1:3" x14ac:dyDescent="0.35">
      <c r="A10" s="4" t="s">
        <v>41</v>
      </c>
    </row>
    <row r="11" spans="1:3" x14ac:dyDescent="0.35">
      <c r="A11" t="s">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E958D-2A03-4468-AC17-432C43737A59}">
  <dimension ref="A3:D18"/>
  <sheetViews>
    <sheetView workbookViewId="0">
      <selection activeCell="F14" sqref="F14"/>
    </sheetView>
  </sheetViews>
  <sheetFormatPr defaultRowHeight="14.5" x14ac:dyDescent="0.35"/>
  <cols>
    <col min="1" max="1" width="20" bestFit="1" customWidth="1"/>
    <col min="2" max="2" width="15.26953125" bestFit="1" customWidth="1"/>
    <col min="3" max="4" width="11.81640625" bestFit="1" customWidth="1"/>
  </cols>
  <sheetData>
    <row r="3" spans="1:4" x14ac:dyDescent="0.35">
      <c r="A3" s="2" t="s">
        <v>30</v>
      </c>
      <c r="B3" s="2" t="s">
        <v>33</v>
      </c>
    </row>
    <row r="4" spans="1:4" x14ac:dyDescent="0.35">
      <c r="A4" s="2" t="s">
        <v>28</v>
      </c>
      <c r="B4">
        <v>0</v>
      </c>
      <c r="C4">
        <v>1</v>
      </c>
      <c r="D4" t="s">
        <v>29</v>
      </c>
    </row>
    <row r="5" spans="1:4" x14ac:dyDescent="0.35">
      <c r="A5" s="3">
        <v>0</v>
      </c>
      <c r="B5">
        <v>615.30769230769226</v>
      </c>
      <c r="C5">
        <v>589.17647058823525</v>
      </c>
      <c r="D5">
        <v>604.97674418604652</v>
      </c>
    </row>
    <row r="6" spans="1:4" x14ac:dyDescent="0.35">
      <c r="A6" s="3">
        <v>1</v>
      </c>
      <c r="B6">
        <v>591</v>
      </c>
      <c r="C6">
        <v>616.83333333333337</v>
      </c>
      <c r="D6">
        <v>605.09090909090912</v>
      </c>
    </row>
    <row r="7" spans="1:4" x14ac:dyDescent="0.35">
      <c r="A7" s="3">
        <v>2</v>
      </c>
      <c r="B7">
        <v>618.59090909090912</v>
      </c>
      <c r="C7">
        <v>568.88</v>
      </c>
      <c r="D7">
        <v>592.14893617021278</v>
      </c>
    </row>
    <row r="8" spans="1:4" x14ac:dyDescent="0.35">
      <c r="A8" s="3">
        <v>3</v>
      </c>
      <c r="B8">
        <v>541.625</v>
      </c>
      <c r="C8">
        <v>637.66666666666663</v>
      </c>
      <c r="D8">
        <v>599.25</v>
      </c>
    </row>
    <row r="9" spans="1:4" x14ac:dyDescent="0.35">
      <c r="A9" s="3">
        <v>4</v>
      </c>
      <c r="B9">
        <v>599.58333333333337</v>
      </c>
      <c r="C9">
        <v>617.66666666666663</v>
      </c>
      <c r="D9">
        <v>608.02222222222224</v>
      </c>
    </row>
    <row r="10" spans="1:4" x14ac:dyDescent="0.35">
      <c r="A10" s="3">
        <v>5</v>
      </c>
      <c r="B10">
        <v>625.20000000000005</v>
      </c>
      <c r="C10">
        <v>605.25</v>
      </c>
      <c r="D10">
        <v>614.31818181818187</v>
      </c>
    </row>
    <row r="11" spans="1:4" x14ac:dyDescent="0.35">
      <c r="A11" s="3">
        <v>6</v>
      </c>
      <c r="B11">
        <v>540.26315789473688</v>
      </c>
      <c r="C11">
        <v>572.53571428571433</v>
      </c>
      <c r="D11">
        <v>559.48936170212767</v>
      </c>
    </row>
    <row r="12" spans="1:4" x14ac:dyDescent="0.35">
      <c r="A12" s="3">
        <v>7</v>
      </c>
      <c r="B12">
        <v>595.76470588235293</v>
      </c>
      <c r="C12">
        <v>567.26923076923072</v>
      </c>
      <c r="D12">
        <v>578.53488372093022</v>
      </c>
    </row>
    <row r="13" spans="1:4" x14ac:dyDescent="0.35">
      <c r="A13" s="3">
        <v>8</v>
      </c>
      <c r="B13">
        <v>590.79999999999995</v>
      </c>
      <c r="C13">
        <v>598.95833333333337</v>
      </c>
      <c r="D13">
        <v>595.82051282051282</v>
      </c>
    </row>
    <row r="14" spans="1:4" x14ac:dyDescent="0.35">
      <c r="A14" s="3">
        <v>9</v>
      </c>
      <c r="B14">
        <v>562.54999999999995</v>
      </c>
      <c r="C14">
        <v>556.60606060606062</v>
      </c>
      <c r="D14">
        <v>558.84905660377353</v>
      </c>
    </row>
    <row r="15" spans="1:4" x14ac:dyDescent="0.35">
      <c r="A15" s="3">
        <v>10</v>
      </c>
      <c r="B15">
        <v>632.82758620689651</v>
      </c>
      <c r="C15">
        <v>557.57692307692309</v>
      </c>
      <c r="D15">
        <v>597.25454545454545</v>
      </c>
    </row>
    <row r="16" spans="1:4" x14ac:dyDescent="0.35">
      <c r="A16" s="3" t="s">
        <v>29</v>
      </c>
      <c r="B16">
        <v>595.81140350877195</v>
      </c>
      <c r="C16">
        <v>587.73161764705878</v>
      </c>
      <c r="D16">
        <v>591.41600000000005</v>
      </c>
    </row>
    <row r="17" spans="1:1" x14ac:dyDescent="0.35">
      <c r="A17" s="4" t="s">
        <v>41</v>
      </c>
    </row>
    <row r="18" spans="1:1" x14ac:dyDescent="0.35">
      <c r="A18" s="5" t="s">
        <v>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E6C41-CE3C-4825-9E21-B24F2B68A6F6}">
  <dimension ref="A1:C17"/>
  <sheetViews>
    <sheetView workbookViewId="0">
      <selection activeCell="A17" sqref="A17"/>
    </sheetView>
  </sheetViews>
  <sheetFormatPr defaultRowHeight="14.5" x14ac:dyDescent="0.35"/>
  <cols>
    <col min="1" max="1" width="32.26953125" customWidth="1"/>
    <col min="2" max="2" width="20.1796875" customWidth="1"/>
    <col min="3" max="3" width="14" customWidth="1"/>
  </cols>
  <sheetData>
    <row r="1" spans="1:3" x14ac:dyDescent="0.35">
      <c r="A1" t="s">
        <v>46</v>
      </c>
    </row>
    <row r="2" spans="1:3" ht="15" thickBot="1" x14ac:dyDescent="0.4"/>
    <row r="3" spans="1:3" x14ac:dyDescent="0.35">
      <c r="A3" s="8"/>
      <c r="B3" s="8" t="s">
        <v>47</v>
      </c>
      <c r="C3" s="8" t="s">
        <v>48</v>
      </c>
    </row>
    <row r="4" spans="1:3" x14ac:dyDescent="0.35">
      <c r="A4" s="6" t="s">
        <v>49</v>
      </c>
      <c r="B4" s="6">
        <v>83428.091874999998</v>
      </c>
      <c r="C4" s="6">
        <v>80464.520175438563</v>
      </c>
    </row>
    <row r="5" spans="1:3" x14ac:dyDescent="0.35">
      <c r="A5" s="6" t="s">
        <v>50</v>
      </c>
      <c r="B5" s="6">
        <v>1718690175.4981639</v>
      </c>
      <c r="C5" s="6">
        <v>1639699948.5368361</v>
      </c>
    </row>
    <row r="6" spans="1:3" x14ac:dyDescent="0.35">
      <c r="A6" s="6" t="s">
        <v>51</v>
      </c>
      <c r="B6" s="6">
        <v>272</v>
      </c>
      <c r="C6" s="6">
        <v>228</v>
      </c>
    </row>
    <row r="7" spans="1:3" x14ac:dyDescent="0.35">
      <c r="A7" s="6" t="s">
        <v>52</v>
      </c>
      <c r="B7" s="6">
        <v>1682684590.1161933</v>
      </c>
      <c r="C7" s="6"/>
    </row>
    <row r="8" spans="1:3" x14ac:dyDescent="0.35">
      <c r="A8" s="6" t="s">
        <v>53</v>
      </c>
      <c r="B8" s="6">
        <v>0</v>
      </c>
      <c r="C8" s="6"/>
    </row>
    <row r="9" spans="1:3" x14ac:dyDescent="0.35">
      <c r="A9" s="6" t="s">
        <v>54</v>
      </c>
      <c r="B9" s="6">
        <v>498</v>
      </c>
      <c r="C9" s="6"/>
    </row>
    <row r="10" spans="1:3" x14ac:dyDescent="0.35">
      <c r="A10" s="6" t="s">
        <v>55</v>
      </c>
      <c r="B10" s="6">
        <v>0.80460171411858572</v>
      </c>
      <c r="C10" s="6"/>
    </row>
    <row r="11" spans="1:3" x14ac:dyDescent="0.35">
      <c r="A11" s="6" t="s">
        <v>56</v>
      </c>
      <c r="B11" s="6">
        <v>0.21071674678161723</v>
      </c>
      <c r="C11" s="6"/>
    </row>
    <row r="12" spans="1:3" x14ac:dyDescent="0.35">
      <c r="A12" s="6" t="s">
        <v>57</v>
      </c>
      <c r="B12" s="6">
        <v>1.6479191388550134</v>
      </c>
      <c r="C12" s="6"/>
    </row>
    <row r="13" spans="1:3" x14ac:dyDescent="0.35">
      <c r="A13" s="6" t="s">
        <v>58</v>
      </c>
      <c r="B13" s="6">
        <v>0.42143349356323445</v>
      </c>
      <c r="C13" s="6"/>
    </row>
    <row r="14" spans="1:3" ht="15" thickBot="1" x14ac:dyDescent="0.4">
      <c r="A14" s="7" t="s">
        <v>59</v>
      </c>
      <c r="B14" s="7">
        <v>1.9647389829672903</v>
      </c>
      <c r="C14" s="7"/>
    </row>
    <row r="16" spans="1:3" x14ac:dyDescent="0.35">
      <c r="A16" s="4" t="s">
        <v>41</v>
      </c>
    </row>
    <row r="17" spans="1:1" x14ac:dyDescent="0.35">
      <c r="A17" t="s">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2F33-0981-474B-A23B-93CDAE24257F}">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1"/>
  <sheetViews>
    <sheetView tabSelected="1" topLeftCell="Q1" workbookViewId="0">
      <selection activeCell="U1" sqref="U1"/>
    </sheetView>
  </sheetViews>
  <sheetFormatPr defaultColWidth="8.81640625" defaultRowHeight="14.5" x14ac:dyDescent="0.35"/>
  <cols>
    <col min="1" max="1" width="10.36328125" bestFit="1" customWidth="1"/>
    <col min="2" max="2" width="8" bestFit="1" customWidth="1"/>
    <col min="3" max="3" width="10.36328125" bestFit="1" customWidth="1"/>
    <col min="4" max="4" width="9.453125" bestFit="1" customWidth="1"/>
    <col min="5" max="5" width="7" bestFit="1" customWidth="1"/>
    <col min="6" max="6" width="4.1796875" bestFit="1" customWidth="1"/>
    <col min="7" max="7" width="6.6328125" bestFit="1" customWidth="1"/>
    <col min="8" max="8" width="10.1796875" bestFit="1" customWidth="1"/>
    <col min="9" max="9" width="13.36328125" bestFit="1" customWidth="1"/>
    <col min="10" max="10" width="9" bestFit="1" customWidth="1"/>
    <col min="11" max="11" width="14.1796875" bestFit="1" customWidth="1"/>
    <col min="12" max="12" width="13.36328125" bestFit="1" customWidth="1"/>
    <col min="13" max="13" width="6" bestFit="1" customWidth="1"/>
    <col min="15" max="15" width="13.54296875" bestFit="1" customWidth="1"/>
    <col min="16" max="16" width="8.81640625" customWidth="1"/>
  </cols>
  <sheetData>
    <row r="1" spans="1:23" x14ac:dyDescent="0.35">
      <c r="A1" s="1" t="s">
        <v>0</v>
      </c>
      <c r="B1" s="1" t="s">
        <v>1</v>
      </c>
      <c r="C1" s="1" t="s">
        <v>2</v>
      </c>
      <c r="D1" s="1" t="s">
        <v>3</v>
      </c>
      <c r="E1" s="1" t="s">
        <v>4</v>
      </c>
      <c r="F1" s="1" t="s">
        <v>5</v>
      </c>
      <c r="G1" s="1" t="s">
        <v>6</v>
      </c>
      <c r="H1" s="1" t="s">
        <v>7</v>
      </c>
      <c r="I1" s="1" t="s">
        <v>8</v>
      </c>
      <c r="J1" s="1" t="s">
        <v>9</v>
      </c>
      <c r="K1" s="1" t="s">
        <v>10</v>
      </c>
      <c r="L1" s="1" t="s">
        <v>11</v>
      </c>
      <c r="M1" s="1" t="s">
        <v>27</v>
      </c>
      <c r="O1" s="4" t="s">
        <v>44</v>
      </c>
      <c r="P1" s="4" t="s">
        <v>45</v>
      </c>
      <c r="U1" t="s">
        <v>24</v>
      </c>
      <c r="V1" t="s">
        <v>22</v>
      </c>
      <c r="W1" t="s">
        <v>23</v>
      </c>
    </row>
    <row r="2" spans="1:23" x14ac:dyDescent="0.35">
      <c r="A2">
        <v>1</v>
      </c>
      <c r="B2" t="s">
        <v>12</v>
      </c>
      <c r="C2">
        <v>764</v>
      </c>
      <c r="D2" t="s">
        <v>22</v>
      </c>
      <c r="E2" t="s">
        <v>25</v>
      </c>
      <c r="F2">
        <v>20</v>
      </c>
      <c r="G2">
        <v>7</v>
      </c>
      <c r="H2">
        <v>119274.87</v>
      </c>
      <c r="I2">
        <v>3</v>
      </c>
      <c r="J2">
        <v>1</v>
      </c>
      <c r="K2">
        <v>0</v>
      </c>
      <c r="L2">
        <v>107886.77</v>
      </c>
      <c r="M2">
        <v>0</v>
      </c>
      <c r="O2" t="str">
        <f>IF($M2=1,$L2,"")</f>
        <v/>
      </c>
      <c r="P2">
        <f>IF($M2=0,$L2,"")</f>
        <v>107886.77</v>
      </c>
      <c r="R2">
        <f t="array" ref="R2">IFERROR(INDEX($L$2:$L$501,SMALL(IF($M$2:$M$501=1,ROW($M$2:$M$501)-1),ROW()-1)),"")</f>
        <v>92581.54</v>
      </c>
      <c r="S2" cm="1">
        <f t="array" ref="S2">IFERROR(INDEX($L$2:$L$501,SMALL(IF($M$2:$M$501=0,ROW($M$2:$M$501)-1),ROW()-1)),"")</f>
        <v>107886.77</v>
      </c>
      <c r="U2" cm="1">
        <f t="array" ref="U2">IFERROR(INDEX($C$2:$C$501,SMALL(IF($D$2:$D$501="France",ROW($D$2:$D$501)-1),ROW()-1)),"")</f>
        <v>741</v>
      </c>
      <c r="V2" cm="1">
        <f t="array" ref="V2">IFERROR(INDEX($C$2:$C$501,SMALL(IF($D$2:$D$501="Germany",ROW($D$2:$D$501)-1),ROW()-1)),"")</f>
        <v>764</v>
      </c>
      <c r="W2" cm="1">
        <f t="array" ref="W2">IFERROR(INDEX($C$2:$C$501,SMALL(IF($D$2:$D$501="Spain",ROW($D$2:$D$501)-1),ROW()-1)),"")</f>
        <v>365</v>
      </c>
    </row>
    <row r="3" spans="1:23" x14ac:dyDescent="0.35">
      <c r="A3">
        <v>2</v>
      </c>
      <c r="B3" t="s">
        <v>13</v>
      </c>
      <c r="C3">
        <v>365</v>
      </c>
      <c r="D3" t="s">
        <v>23</v>
      </c>
      <c r="E3" t="s">
        <v>26</v>
      </c>
      <c r="F3">
        <v>64</v>
      </c>
      <c r="G3">
        <v>3</v>
      </c>
      <c r="H3">
        <v>203737.4</v>
      </c>
      <c r="I3">
        <v>3</v>
      </c>
      <c r="J3">
        <v>1</v>
      </c>
      <c r="K3">
        <v>1</v>
      </c>
      <c r="L3">
        <v>52848.11</v>
      </c>
      <c r="M3">
        <v>0</v>
      </c>
      <c r="O3" t="str">
        <f t="shared" ref="O3:O66" si="0">IF($M3=1,$L3,"")</f>
        <v/>
      </c>
      <c r="P3">
        <f t="shared" ref="P3:P66" si="1">IF($M3=0,$L3,"")</f>
        <v>52848.11</v>
      </c>
      <c r="R3">
        <f t="array" ref="R3">IFERROR(INDEX($L$2:$L$501,SMALL(IF($M$2:$M$501=1,ROW($M$2:$M$501)-1),ROW()-1)),"")</f>
        <v>141848.51</v>
      </c>
      <c r="S3" cm="1">
        <f t="array" ref="S3">IFERROR(INDEX($L$2:$L$501,SMALL(IF($M$2:$M$501=0,ROW($M$2:$M$501)-1),ROW()-1)),"")</f>
        <v>52848.11</v>
      </c>
      <c r="U3" cm="1">
        <f t="array" ref="U3">IFERROR(INDEX($C$2:$C$501,SMALL(IF($D$2:$D$501="France",ROW($D$2:$D$501)-1),ROW()-1)),"")</f>
        <v>671</v>
      </c>
      <c r="V3" cm="1">
        <f t="array" ref="V3">IFERROR(INDEX($C$2:$C$501,SMALL(IF($D$2:$D$501="Germany",ROW($D$2:$D$501)-1),ROW()-1)),"")</f>
        <v>519</v>
      </c>
      <c r="W3" cm="1">
        <f t="array" ref="W3">IFERROR(INDEX($C$2:$C$501,SMALL(IF($D$2:$D$501="Spain",ROW($D$2:$D$501)-1),ROW()-1)),"")</f>
        <v>659</v>
      </c>
    </row>
    <row r="4" spans="1:23" x14ac:dyDescent="0.35">
      <c r="A4">
        <v>3</v>
      </c>
      <c r="B4" t="s">
        <v>14</v>
      </c>
      <c r="C4">
        <v>519</v>
      </c>
      <c r="D4" t="s">
        <v>22</v>
      </c>
      <c r="E4" t="s">
        <v>25</v>
      </c>
      <c r="F4">
        <v>69</v>
      </c>
      <c r="G4">
        <v>6</v>
      </c>
      <c r="H4">
        <v>146780.5</v>
      </c>
      <c r="I4">
        <v>3</v>
      </c>
      <c r="J4">
        <v>0</v>
      </c>
      <c r="K4">
        <v>0</v>
      </c>
      <c r="L4">
        <v>94395.02</v>
      </c>
      <c r="M4">
        <v>0</v>
      </c>
      <c r="O4" t="str">
        <f t="shared" si="0"/>
        <v/>
      </c>
      <c r="P4">
        <f t="shared" si="1"/>
        <v>94395.02</v>
      </c>
      <c r="R4">
        <f t="array" ref="R4">IFERROR(INDEX($L$2:$L$501,SMALL(IF($M$2:$M$501=1,ROW($M$2:$M$501)-1),ROW()-1)),"")</f>
        <v>143065.1</v>
      </c>
      <c r="S4" cm="1">
        <f t="array" ref="S4">IFERROR(INDEX($L$2:$L$501,SMALL(IF($M$2:$M$501=0,ROW($M$2:$M$501)-1),ROW()-1)),"")</f>
        <v>94395.02</v>
      </c>
      <c r="U4" cm="1">
        <f t="array" ref="U4">IFERROR(INDEX($C$2:$C$501,SMALL(IF($D$2:$D$501="France",ROW($D$2:$D$501)-1),ROW()-1)),"")</f>
        <v>519</v>
      </c>
      <c r="V4" cm="1">
        <f t="array" ref="V4">IFERROR(INDEX($C$2:$C$501,SMALL(IF($D$2:$D$501="Germany",ROW($D$2:$D$501)-1),ROW()-1)),"")</f>
        <v>516</v>
      </c>
      <c r="W4" cm="1">
        <f t="array" ref="W4">IFERROR(INDEX($C$2:$C$501,SMALL(IF($D$2:$D$501="Spain",ROW($D$2:$D$501)-1),ROW()-1)),"")</f>
        <v>777</v>
      </c>
    </row>
    <row r="5" spans="1:23" x14ac:dyDescent="0.35">
      <c r="A5">
        <v>4</v>
      </c>
      <c r="B5" t="s">
        <v>14</v>
      </c>
      <c r="C5">
        <v>516</v>
      </c>
      <c r="D5" t="s">
        <v>22</v>
      </c>
      <c r="E5" t="s">
        <v>26</v>
      </c>
      <c r="F5">
        <v>59</v>
      </c>
      <c r="G5">
        <v>0</v>
      </c>
      <c r="H5">
        <v>23572.03</v>
      </c>
      <c r="I5">
        <v>1</v>
      </c>
      <c r="J5">
        <v>1</v>
      </c>
      <c r="K5">
        <v>0</v>
      </c>
      <c r="L5">
        <v>146739.54999999999</v>
      </c>
      <c r="M5">
        <v>0</v>
      </c>
      <c r="O5" t="str">
        <f t="shared" si="0"/>
        <v/>
      </c>
      <c r="P5">
        <f t="shared" si="1"/>
        <v>146739.54999999999</v>
      </c>
      <c r="R5">
        <f t="array" ref="R5">IFERROR(INDEX($L$2:$L$501,SMALL(IF($M$2:$M$501=1,ROW($M$2:$M$501)-1),ROW()-1)),"")</f>
        <v>125839.96</v>
      </c>
      <c r="S5" cm="1">
        <f t="array" ref="S5">IFERROR(INDEX($L$2:$L$501,SMALL(IF($M$2:$M$501=0,ROW($M$2:$M$501)-1),ROW()-1)),"")</f>
        <v>146739.54999999999</v>
      </c>
      <c r="U5" cm="1">
        <f t="array" ref="U5">IFERROR(INDEX($C$2:$C$501,SMALL(IF($D$2:$D$501="France",ROW($D$2:$D$501)-1),ROW()-1)),"")</f>
        <v>579</v>
      </c>
      <c r="V5" cm="1">
        <f t="array" ref="V5">IFERROR(INDEX($C$2:$C$501,SMALL(IF($D$2:$D$501="Germany",ROW($D$2:$D$501)-1),ROW()-1)),"")</f>
        <v>432</v>
      </c>
      <c r="W5" cm="1">
        <f t="array" ref="W5">IFERROR(INDEX($C$2:$C$501,SMALL(IF($D$2:$D$501="Spain",ROW($D$2:$D$501)-1),ROW()-1)),"")</f>
        <v>464</v>
      </c>
    </row>
    <row r="6" spans="1:23" x14ac:dyDescent="0.35">
      <c r="A6">
        <v>5</v>
      </c>
      <c r="B6" t="s">
        <v>15</v>
      </c>
      <c r="C6">
        <v>659</v>
      </c>
      <c r="D6" t="s">
        <v>23</v>
      </c>
      <c r="E6" t="s">
        <v>26</v>
      </c>
      <c r="F6">
        <v>21</v>
      </c>
      <c r="G6">
        <v>2</v>
      </c>
      <c r="H6">
        <v>7463.43</v>
      </c>
      <c r="I6">
        <v>1</v>
      </c>
      <c r="J6">
        <v>1</v>
      </c>
      <c r="K6">
        <v>1</v>
      </c>
      <c r="L6">
        <v>16036.55</v>
      </c>
      <c r="M6">
        <v>0</v>
      </c>
      <c r="O6" t="str">
        <f t="shared" si="0"/>
        <v/>
      </c>
      <c r="P6">
        <f t="shared" si="1"/>
        <v>16036.55</v>
      </c>
      <c r="R6">
        <f t="array" ref="R6">IFERROR(INDEX($L$2:$L$501,SMALL(IF($M$2:$M$501=1,ROW($M$2:$M$501)-1),ROW()-1)),"")</f>
        <v>58708.71</v>
      </c>
      <c r="S6" cm="1">
        <f t="array" ref="S6">IFERROR(INDEX($L$2:$L$501,SMALL(IF($M$2:$M$501=0,ROW($M$2:$M$501)-1),ROW()-1)),"")</f>
        <v>16036.55</v>
      </c>
      <c r="U6" cm="1">
        <f t="array" ref="U6">IFERROR(INDEX($C$2:$C$501,SMALL(IF($D$2:$D$501="France",ROW($D$2:$D$501)-1),ROW()-1)),"")</f>
        <v>571</v>
      </c>
      <c r="V6" cm="1">
        <f t="array" ref="V6">IFERROR(INDEX($C$2:$C$501,SMALL(IF($D$2:$D$501="Germany",ROW($D$2:$D$501)-1),ROW()-1)),"")</f>
        <v>570</v>
      </c>
      <c r="W6" cm="1">
        <f t="array" ref="W6">IFERROR(INDEX($C$2:$C$501,SMALL(IF($D$2:$D$501="Spain",ROW($D$2:$D$501)-1),ROW()-1)),"")</f>
        <v>596</v>
      </c>
    </row>
    <row r="7" spans="1:23" x14ac:dyDescent="0.35">
      <c r="A7">
        <v>6</v>
      </c>
      <c r="B7" t="s">
        <v>16</v>
      </c>
      <c r="C7">
        <v>777</v>
      </c>
      <c r="D7" t="s">
        <v>23</v>
      </c>
      <c r="E7" t="s">
        <v>26</v>
      </c>
      <c r="F7">
        <v>34</v>
      </c>
      <c r="G7">
        <v>0</v>
      </c>
      <c r="H7">
        <v>127812.9</v>
      </c>
      <c r="I7">
        <v>4</v>
      </c>
      <c r="J7">
        <v>1</v>
      </c>
      <c r="K7">
        <v>0</v>
      </c>
      <c r="L7">
        <v>65189.1</v>
      </c>
      <c r="M7">
        <v>0</v>
      </c>
      <c r="O7" t="str">
        <f t="shared" si="0"/>
        <v/>
      </c>
      <c r="P7">
        <f t="shared" si="1"/>
        <v>65189.1</v>
      </c>
      <c r="R7">
        <f t="array" ref="R7">IFERROR(INDEX($L$2:$L$501,SMALL(IF($M$2:$M$501=1,ROW($M$2:$M$501)-1),ROW()-1)),"")</f>
        <v>143532.82</v>
      </c>
      <c r="S7" cm="1">
        <f t="array" ref="S7">IFERROR(INDEX($L$2:$L$501,SMALL(IF($M$2:$M$501=0,ROW($M$2:$M$501)-1),ROW()-1)),"")</f>
        <v>65189.1</v>
      </c>
      <c r="U7" cm="1">
        <f t="array" ref="U7">IFERROR(INDEX($C$2:$C$501,SMALL(IF($D$2:$D$501="France",ROW($D$2:$D$501)-1),ROW()-1)),"")</f>
        <v>443</v>
      </c>
      <c r="V7" cm="1">
        <f t="array" ref="V7">IFERROR(INDEX($C$2:$C$501,SMALL(IF($D$2:$D$501="Germany",ROW($D$2:$D$501)-1),ROW()-1)),"")</f>
        <v>672</v>
      </c>
      <c r="W7" cm="1">
        <f t="array" ref="W7">IFERROR(INDEX($C$2:$C$501,SMALL(IF($D$2:$D$501="Spain",ROW($D$2:$D$501)-1),ROW()-1)),"")</f>
        <v>528</v>
      </c>
    </row>
    <row r="8" spans="1:23" x14ac:dyDescent="0.35">
      <c r="A8">
        <v>7</v>
      </c>
      <c r="B8" t="s">
        <v>14</v>
      </c>
      <c r="C8">
        <v>432</v>
      </c>
      <c r="D8" t="s">
        <v>22</v>
      </c>
      <c r="E8" t="s">
        <v>26</v>
      </c>
      <c r="F8">
        <v>81</v>
      </c>
      <c r="G8">
        <v>10</v>
      </c>
      <c r="H8">
        <v>136164.96</v>
      </c>
      <c r="I8">
        <v>4</v>
      </c>
      <c r="J8">
        <v>0</v>
      </c>
      <c r="K8">
        <v>0</v>
      </c>
      <c r="L8">
        <v>135962.88</v>
      </c>
      <c r="M8">
        <v>0</v>
      </c>
      <c r="O8" t="str">
        <f t="shared" si="0"/>
        <v/>
      </c>
      <c r="P8">
        <f t="shared" si="1"/>
        <v>135962.88</v>
      </c>
      <c r="R8">
        <f t="array" ref="R8">IFERROR(INDEX($L$2:$L$501,SMALL(IF($M$2:$M$501=1,ROW($M$2:$M$501)-1),ROW()-1)),"")</f>
        <v>43961.45</v>
      </c>
      <c r="S8" cm="1">
        <f t="array" ref="S8">IFERROR(INDEX($L$2:$L$501,SMALL(IF($M$2:$M$501=0,ROW($M$2:$M$501)-1),ROW()-1)),"")</f>
        <v>135962.88</v>
      </c>
      <c r="U8" cm="1">
        <f t="array" ref="U8">IFERROR(INDEX($C$2:$C$501,SMALL(IF($D$2:$D$501="France",ROW($D$2:$D$501)-1),ROW()-1)),"")</f>
        <v>574</v>
      </c>
      <c r="V8" cm="1">
        <f t="array" ref="V8">IFERROR(INDEX($C$2:$C$501,SMALL(IF($D$2:$D$501="Germany",ROW($D$2:$D$501)-1),ROW()-1)),"")</f>
        <v>698</v>
      </c>
      <c r="W8" cm="1">
        <f t="array" ref="W8">IFERROR(INDEX($C$2:$C$501,SMALL(IF($D$2:$D$501="Spain",ROW($D$2:$D$501)-1),ROW()-1)),"")</f>
        <v>524</v>
      </c>
    </row>
    <row r="9" spans="1:23" x14ac:dyDescent="0.35">
      <c r="A9">
        <v>8</v>
      </c>
      <c r="B9" t="s">
        <v>12</v>
      </c>
      <c r="C9">
        <v>741</v>
      </c>
      <c r="D9" t="s">
        <v>24</v>
      </c>
      <c r="E9" t="s">
        <v>25</v>
      </c>
      <c r="F9">
        <v>82</v>
      </c>
      <c r="G9">
        <v>5</v>
      </c>
      <c r="H9">
        <v>204042.02</v>
      </c>
      <c r="I9">
        <v>2</v>
      </c>
      <c r="J9">
        <v>1</v>
      </c>
      <c r="K9">
        <v>1</v>
      </c>
      <c r="L9">
        <v>92581.54</v>
      </c>
      <c r="M9">
        <v>1</v>
      </c>
      <c r="O9">
        <f t="shared" si="0"/>
        <v>92581.54</v>
      </c>
      <c r="P9" t="str">
        <f t="shared" si="1"/>
        <v/>
      </c>
      <c r="R9">
        <f t="array" ref="R9">IFERROR(INDEX($L$2:$L$501,SMALL(IF($M$2:$M$501=1,ROW($M$2:$M$501)-1),ROW()-1)),"")</f>
        <v>103226.64</v>
      </c>
      <c r="S9" cm="1">
        <f t="array" ref="S9">IFERROR(INDEX($L$2:$L$501,SMALL(IF($M$2:$M$501=0,ROW($M$2:$M$501)-1),ROW()-1)),"")</f>
        <v>13740.96</v>
      </c>
      <c r="U9" cm="1">
        <f t="array" ref="U9">IFERROR(INDEX($C$2:$C$501,SMALL(IF($D$2:$D$501="France",ROW($D$2:$D$501)-1),ROW()-1)),"")</f>
        <v>686</v>
      </c>
      <c r="V9" cm="1">
        <f t="array" ref="V9">IFERROR(INDEX($C$2:$C$501,SMALL(IF($D$2:$D$501="Germany",ROW($D$2:$D$501)-1),ROW()-1)),"")</f>
        <v>684</v>
      </c>
      <c r="W9" cm="1">
        <f t="array" ref="W9">IFERROR(INDEX($C$2:$C$501,SMALL(IF($D$2:$D$501="Spain",ROW($D$2:$D$501)-1),ROW()-1)),"")</f>
        <v>464</v>
      </c>
    </row>
    <row r="10" spans="1:23" x14ac:dyDescent="0.35">
      <c r="A10">
        <v>9</v>
      </c>
      <c r="B10" t="s">
        <v>17</v>
      </c>
      <c r="C10">
        <v>570</v>
      </c>
      <c r="D10" t="s">
        <v>22</v>
      </c>
      <c r="E10" t="s">
        <v>26</v>
      </c>
      <c r="F10">
        <v>31</v>
      </c>
      <c r="G10">
        <v>1</v>
      </c>
      <c r="H10">
        <v>182609.21</v>
      </c>
      <c r="I10">
        <v>2</v>
      </c>
      <c r="J10">
        <v>0</v>
      </c>
      <c r="K10">
        <v>1</v>
      </c>
      <c r="L10">
        <v>141848.51</v>
      </c>
      <c r="M10">
        <v>1</v>
      </c>
      <c r="O10">
        <f t="shared" si="0"/>
        <v>141848.51</v>
      </c>
      <c r="P10" t="str">
        <f t="shared" si="1"/>
        <v/>
      </c>
      <c r="R10">
        <f t="array" ref="R10">IFERROR(INDEX($L$2:$L$501,SMALL(IF($M$2:$M$501=1,ROW($M$2:$M$501)-1),ROW()-1)),"")</f>
        <v>144262.57</v>
      </c>
      <c r="S10" cm="1">
        <f t="array" ref="S10">IFERROR(INDEX($L$2:$L$501,SMALL(IF($M$2:$M$501=0,ROW($M$2:$M$501)-1),ROW()-1)),"")</f>
        <v>38571.279999999999</v>
      </c>
      <c r="U10" cm="1">
        <f t="array" ref="U10">IFERROR(INDEX($C$2:$C$501,SMALL(IF($D$2:$D$501="France",ROW($D$2:$D$501)-1),ROW()-1)),"")</f>
        <v>849</v>
      </c>
      <c r="V10" cm="1">
        <f t="array" ref="V10">IFERROR(INDEX($C$2:$C$501,SMALL(IF($D$2:$D$501="Germany",ROW($D$2:$D$501)-1),ROW()-1)),"")</f>
        <v>569</v>
      </c>
      <c r="W10" cm="1">
        <f t="array" ref="W10">IFERROR(INDEX($C$2:$C$501,SMALL(IF($D$2:$D$501="Spain",ROW($D$2:$D$501)-1),ROW()-1)),"")</f>
        <v>511</v>
      </c>
    </row>
    <row r="11" spans="1:23" x14ac:dyDescent="0.35">
      <c r="A11">
        <v>10</v>
      </c>
      <c r="B11" t="s">
        <v>18</v>
      </c>
      <c r="C11">
        <v>671</v>
      </c>
      <c r="D11" t="s">
        <v>24</v>
      </c>
      <c r="E11" t="s">
        <v>26</v>
      </c>
      <c r="F11">
        <v>56</v>
      </c>
      <c r="G11">
        <v>7</v>
      </c>
      <c r="H11">
        <v>56345.73</v>
      </c>
      <c r="I11">
        <v>2</v>
      </c>
      <c r="J11">
        <v>0</v>
      </c>
      <c r="K11">
        <v>0</v>
      </c>
      <c r="L11">
        <v>143065.1</v>
      </c>
      <c r="M11">
        <v>1</v>
      </c>
      <c r="O11">
        <f t="shared" si="0"/>
        <v>143065.1</v>
      </c>
      <c r="P11" t="str">
        <f t="shared" si="1"/>
        <v/>
      </c>
      <c r="R11">
        <f t="array" ref="R11">IFERROR(INDEX($L$2:$L$501,SMALL(IF($M$2:$M$501=1,ROW($M$2:$M$501)-1),ROW()-1)),"")</f>
        <v>71646.19</v>
      </c>
      <c r="S11" cm="1">
        <f t="array" ref="S11">IFERROR(INDEX($L$2:$L$501,SMALL(IF($M$2:$M$501=0,ROW($M$2:$M$501)-1),ROW()-1)),"")</f>
        <v>108305.55</v>
      </c>
      <c r="U11" cm="1">
        <f t="array" ref="U11">IFERROR(INDEX($C$2:$C$501,SMALL(IF($D$2:$D$501="France",ROW($D$2:$D$501)-1),ROW()-1)),"")</f>
        <v>488</v>
      </c>
      <c r="V11" cm="1">
        <f t="array" ref="V11">IFERROR(INDEX($C$2:$C$501,SMALL(IF($D$2:$D$501="Germany",ROW($D$2:$D$501)-1),ROW()-1)),"")</f>
        <v>450</v>
      </c>
      <c r="W11" cm="1">
        <f t="array" ref="W11">IFERROR(INDEX($C$2:$C$501,SMALL(IF($D$2:$D$501="Spain",ROW($D$2:$D$501)-1),ROW()-1)),"")</f>
        <v>583</v>
      </c>
    </row>
    <row r="12" spans="1:23" x14ac:dyDescent="0.35">
      <c r="A12">
        <v>11</v>
      </c>
      <c r="B12" t="s">
        <v>15</v>
      </c>
      <c r="C12">
        <v>519</v>
      </c>
      <c r="D12" t="s">
        <v>24</v>
      </c>
      <c r="E12" t="s">
        <v>26</v>
      </c>
      <c r="F12">
        <v>22</v>
      </c>
      <c r="G12">
        <v>10</v>
      </c>
      <c r="H12">
        <v>198399.26</v>
      </c>
      <c r="I12">
        <v>3</v>
      </c>
      <c r="J12">
        <v>1</v>
      </c>
      <c r="K12">
        <v>0</v>
      </c>
      <c r="L12">
        <v>125839.96</v>
      </c>
      <c r="M12">
        <v>1</v>
      </c>
      <c r="O12">
        <f t="shared" si="0"/>
        <v>125839.96</v>
      </c>
      <c r="P12" t="str">
        <f t="shared" si="1"/>
        <v/>
      </c>
      <c r="R12">
        <f t="array" ref="R12">IFERROR(INDEX($L$2:$L$501,SMALL(IF($M$2:$M$501=1,ROW($M$2:$M$501)-1),ROW()-1)),"")</f>
        <v>130037.45</v>
      </c>
      <c r="S12" cm="1">
        <f t="array" ref="S12">IFERROR(INDEX($L$2:$L$501,SMALL(IF($M$2:$M$501=0,ROW($M$2:$M$501)-1),ROW()-1)),"")</f>
        <v>93337.31</v>
      </c>
      <c r="U12" cm="1">
        <f t="array" ref="U12">IFERROR(INDEX($C$2:$C$501,SMALL(IF($D$2:$D$501="France",ROW($D$2:$D$501)-1),ROW()-1)),"")</f>
        <v>470</v>
      </c>
      <c r="V12" cm="1">
        <f t="array" ref="V12">IFERROR(INDEX($C$2:$C$501,SMALL(IF($D$2:$D$501="Germany",ROW($D$2:$D$501)-1),ROW()-1)),"")</f>
        <v>765</v>
      </c>
      <c r="W12" cm="1">
        <f t="array" ref="W12">IFERROR(INDEX($C$2:$C$501,SMALL(IF($D$2:$D$501="Spain",ROW($D$2:$D$501)-1),ROW()-1)),"")</f>
        <v>806</v>
      </c>
    </row>
    <row r="13" spans="1:23" x14ac:dyDescent="0.35">
      <c r="A13">
        <v>12</v>
      </c>
      <c r="B13" t="s">
        <v>19</v>
      </c>
      <c r="C13">
        <v>672</v>
      </c>
      <c r="D13" t="s">
        <v>22</v>
      </c>
      <c r="E13" t="s">
        <v>25</v>
      </c>
      <c r="F13">
        <v>21</v>
      </c>
      <c r="G13">
        <v>3</v>
      </c>
      <c r="H13">
        <v>157278.91</v>
      </c>
      <c r="I13">
        <v>3</v>
      </c>
      <c r="J13">
        <v>0</v>
      </c>
      <c r="K13">
        <v>0</v>
      </c>
      <c r="L13">
        <v>58708.71</v>
      </c>
      <c r="M13">
        <v>1</v>
      </c>
      <c r="O13">
        <f t="shared" si="0"/>
        <v>58708.71</v>
      </c>
      <c r="P13" t="str">
        <f t="shared" si="1"/>
        <v/>
      </c>
      <c r="R13">
        <f t="array" ref="R13">IFERROR(INDEX($L$2:$L$501,SMALL(IF($M$2:$M$501=1,ROW($M$2:$M$501)-1),ROW()-1)),"")</f>
        <v>137124.10999999999</v>
      </c>
      <c r="S13" cm="1">
        <f t="array" ref="S13">IFERROR(INDEX($L$2:$L$501,SMALL(IF($M$2:$M$501=0,ROW($M$2:$M$501)-1),ROW()-1)),"")</f>
        <v>27413.39</v>
      </c>
      <c r="U13" cm="1">
        <f t="array" ref="U13">IFERROR(INDEX($C$2:$C$501,SMALL(IF($D$2:$D$501="France",ROW($D$2:$D$501)-1),ROW()-1)),"")</f>
        <v>813</v>
      </c>
      <c r="V13" cm="1">
        <f t="array" ref="V13">IFERROR(INDEX($C$2:$C$501,SMALL(IF($D$2:$D$501="Germany",ROW($D$2:$D$501)-1),ROW()-1)),"")</f>
        <v>618</v>
      </c>
      <c r="W13" cm="1">
        <f t="array" ref="W13">IFERROR(INDEX($C$2:$C$501,SMALL(IF($D$2:$D$501="Spain",ROW($D$2:$D$501)-1),ROW()-1)),"")</f>
        <v>475</v>
      </c>
    </row>
    <row r="14" spans="1:23" x14ac:dyDescent="0.35">
      <c r="A14">
        <v>13</v>
      </c>
      <c r="B14" t="s">
        <v>20</v>
      </c>
      <c r="C14">
        <v>464</v>
      </c>
      <c r="D14" t="s">
        <v>23</v>
      </c>
      <c r="E14" t="s">
        <v>26</v>
      </c>
      <c r="F14">
        <v>37</v>
      </c>
      <c r="G14">
        <v>2</v>
      </c>
      <c r="H14">
        <v>58317.75</v>
      </c>
      <c r="I14">
        <v>3</v>
      </c>
      <c r="J14">
        <v>0</v>
      </c>
      <c r="K14">
        <v>0</v>
      </c>
      <c r="L14">
        <v>13740.96</v>
      </c>
      <c r="M14">
        <v>0</v>
      </c>
      <c r="O14" t="str">
        <f t="shared" si="0"/>
        <v/>
      </c>
      <c r="P14">
        <f t="shared" si="1"/>
        <v>13740.96</v>
      </c>
      <c r="R14">
        <f t="array" ref="R14">IFERROR(INDEX($L$2:$L$501,SMALL(IF($M$2:$M$501=1,ROW($M$2:$M$501)-1),ROW()-1)),"")</f>
        <v>107849.47</v>
      </c>
      <c r="S14" cm="1">
        <f t="array" ref="S14">IFERROR(INDEX($L$2:$L$501,SMALL(IF($M$2:$M$501=0,ROW($M$2:$M$501)-1),ROW()-1)),"")</f>
        <v>16197.08</v>
      </c>
      <c r="U14" cm="1">
        <f t="array" ref="U14">IFERROR(INDEX($C$2:$C$501,SMALL(IF($D$2:$D$501="France",ROW($D$2:$D$501)-1),ROW()-1)),"")</f>
        <v>694</v>
      </c>
      <c r="V14" cm="1">
        <f t="array" ref="V14">IFERROR(INDEX($C$2:$C$501,SMALL(IF($D$2:$D$501="Germany",ROW($D$2:$D$501)-1),ROW()-1)),"")</f>
        <v>416</v>
      </c>
      <c r="W14" cm="1">
        <f t="array" ref="W14">IFERROR(INDEX($C$2:$C$501,SMALL(IF($D$2:$D$501="Spain",ROW($D$2:$D$501)-1),ROW()-1)),"")</f>
        <v>505</v>
      </c>
    </row>
    <row r="15" spans="1:23" x14ac:dyDescent="0.35">
      <c r="A15">
        <v>14</v>
      </c>
      <c r="B15" t="s">
        <v>20</v>
      </c>
      <c r="C15">
        <v>698</v>
      </c>
      <c r="D15" t="s">
        <v>22</v>
      </c>
      <c r="E15" t="s">
        <v>25</v>
      </c>
      <c r="F15">
        <v>34</v>
      </c>
      <c r="G15">
        <v>3</v>
      </c>
      <c r="H15">
        <v>128968.35</v>
      </c>
      <c r="I15">
        <v>1</v>
      </c>
      <c r="J15">
        <v>0</v>
      </c>
      <c r="K15">
        <v>0</v>
      </c>
      <c r="L15">
        <v>143532.82</v>
      </c>
      <c r="M15">
        <v>1</v>
      </c>
      <c r="O15">
        <f t="shared" si="0"/>
        <v>143532.82</v>
      </c>
      <c r="P15" t="str">
        <f t="shared" si="1"/>
        <v/>
      </c>
      <c r="R15">
        <f t="array" ref="R15">IFERROR(INDEX($L$2:$L$501,SMALL(IF($M$2:$M$501=1,ROW($M$2:$M$501)-1),ROW()-1)),"")</f>
        <v>82076.7</v>
      </c>
      <c r="S15" cm="1">
        <f t="array" ref="S15">IFERROR(INDEX($L$2:$L$501,SMALL(IF($M$2:$M$501=0,ROW($M$2:$M$501)-1),ROW()-1)),"")</f>
        <v>129312.08</v>
      </c>
      <c r="U15" cm="1">
        <f t="array" ref="U15">IFERROR(INDEX($C$2:$C$501,SMALL(IF($D$2:$D$501="France",ROW($D$2:$D$501)-1),ROW()-1)),"")</f>
        <v>498</v>
      </c>
      <c r="V15" cm="1">
        <f t="array" ref="V15">IFERROR(INDEX($C$2:$C$501,SMALL(IF($D$2:$D$501="Germany",ROW($D$2:$D$501)-1),ROW()-1)),"")</f>
        <v>462</v>
      </c>
      <c r="W15" cm="1">
        <f t="array" ref="W15">IFERROR(INDEX($C$2:$C$501,SMALL(IF($D$2:$D$501="Spain",ROW($D$2:$D$501)-1),ROW()-1)),"")</f>
        <v>534</v>
      </c>
    </row>
    <row r="16" spans="1:23" x14ac:dyDescent="0.35">
      <c r="A16">
        <v>15</v>
      </c>
      <c r="B16" t="s">
        <v>21</v>
      </c>
      <c r="C16">
        <v>684</v>
      </c>
      <c r="D16" t="s">
        <v>22</v>
      </c>
      <c r="E16" t="s">
        <v>25</v>
      </c>
      <c r="F16">
        <v>89</v>
      </c>
      <c r="G16">
        <v>2</v>
      </c>
      <c r="H16">
        <v>60006.91</v>
      </c>
      <c r="I16">
        <v>2</v>
      </c>
      <c r="J16">
        <v>1</v>
      </c>
      <c r="K16">
        <v>0</v>
      </c>
      <c r="L16">
        <v>38571.279999999999</v>
      </c>
      <c r="M16">
        <v>0</v>
      </c>
      <c r="O16" t="str">
        <f t="shared" si="0"/>
        <v/>
      </c>
      <c r="P16">
        <f t="shared" si="1"/>
        <v>38571.279999999999</v>
      </c>
      <c r="R16">
        <f t="array" ref="R16">IFERROR(INDEX($L$2:$L$501,SMALL(IF($M$2:$M$501=1,ROW($M$2:$M$501)-1),ROW()-1)),"")</f>
        <v>106833.18</v>
      </c>
      <c r="S16" cm="1">
        <f t="array" ref="S16">IFERROR(INDEX($L$2:$L$501,SMALL(IF($M$2:$M$501=0,ROW($M$2:$M$501)-1),ROW()-1)),"")</f>
        <v>57083.95</v>
      </c>
      <c r="U16" cm="1">
        <f t="array" ref="U16">IFERROR(INDEX($C$2:$C$501,SMALL(IF($D$2:$D$501="France",ROW($D$2:$D$501)-1),ROW()-1)),"")</f>
        <v>740</v>
      </c>
      <c r="V16" cm="1">
        <f t="array" ref="V16">IFERROR(INDEX($C$2:$C$501,SMALL(IF($D$2:$D$501="Germany",ROW($D$2:$D$501)-1),ROW()-1)),"")</f>
        <v>568</v>
      </c>
      <c r="W16" cm="1">
        <f t="array" ref="W16">IFERROR(INDEX($C$2:$C$501,SMALL(IF($D$2:$D$501="Spain",ROW($D$2:$D$501)-1),ROW()-1)),"")</f>
        <v>671</v>
      </c>
    </row>
    <row r="17" spans="1:23" x14ac:dyDescent="0.35">
      <c r="A17">
        <v>16</v>
      </c>
      <c r="B17" t="s">
        <v>19</v>
      </c>
      <c r="C17">
        <v>579</v>
      </c>
      <c r="D17" t="s">
        <v>24</v>
      </c>
      <c r="E17" t="s">
        <v>26</v>
      </c>
      <c r="F17">
        <v>42</v>
      </c>
      <c r="G17">
        <v>3</v>
      </c>
      <c r="H17">
        <v>180430.72</v>
      </c>
      <c r="I17">
        <v>4</v>
      </c>
      <c r="J17">
        <v>0</v>
      </c>
      <c r="K17">
        <v>1</v>
      </c>
      <c r="L17">
        <v>43961.45</v>
      </c>
      <c r="M17">
        <v>1</v>
      </c>
      <c r="O17">
        <f t="shared" si="0"/>
        <v>43961.45</v>
      </c>
      <c r="P17" t="str">
        <f t="shared" si="1"/>
        <v/>
      </c>
      <c r="R17">
        <f t="array" ref="R17">IFERROR(INDEX($L$2:$L$501,SMALL(IF($M$2:$M$501=1,ROW($M$2:$M$501)-1),ROW()-1)),"")</f>
        <v>88655.49</v>
      </c>
      <c r="S17" cm="1">
        <f t="array" ref="S17">IFERROR(INDEX($L$2:$L$501,SMALL(IF($M$2:$M$501=0,ROW($M$2:$M$501)-1),ROW()-1)),"")</f>
        <v>129087.2</v>
      </c>
      <c r="U17" cm="1">
        <f t="array" ref="U17">IFERROR(INDEX($C$2:$C$501,SMALL(IF($D$2:$D$501="France",ROW($D$2:$D$501)-1),ROW()-1)),"")</f>
        <v>442</v>
      </c>
      <c r="V17" cm="1">
        <f t="array" ref="V17">IFERROR(INDEX($C$2:$C$501,SMALL(IF($D$2:$D$501="Germany",ROW($D$2:$D$501)-1),ROW()-1)),"")</f>
        <v>798</v>
      </c>
      <c r="W17" cm="1">
        <f t="array" ref="W17">IFERROR(INDEX($C$2:$C$501,SMALL(IF($D$2:$D$501="Spain",ROW($D$2:$D$501)-1),ROW()-1)),"")</f>
        <v>640</v>
      </c>
    </row>
    <row r="18" spans="1:23" x14ac:dyDescent="0.35">
      <c r="A18">
        <v>17</v>
      </c>
      <c r="B18" t="s">
        <v>15</v>
      </c>
      <c r="C18">
        <v>569</v>
      </c>
      <c r="D18" t="s">
        <v>22</v>
      </c>
      <c r="E18" t="s">
        <v>25</v>
      </c>
      <c r="F18">
        <v>29</v>
      </c>
      <c r="G18">
        <v>7</v>
      </c>
      <c r="H18">
        <v>75466.39</v>
      </c>
      <c r="I18">
        <v>1</v>
      </c>
      <c r="J18">
        <v>0</v>
      </c>
      <c r="K18">
        <v>0</v>
      </c>
      <c r="L18">
        <v>103226.64</v>
      </c>
      <c r="M18">
        <v>1</v>
      </c>
      <c r="O18">
        <f t="shared" si="0"/>
        <v>103226.64</v>
      </c>
      <c r="P18" t="str">
        <f t="shared" si="1"/>
        <v/>
      </c>
      <c r="R18">
        <f t="array" ref="R18">IFERROR(INDEX($L$2:$L$501,SMALL(IF($M$2:$M$501=1,ROW($M$2:$M$501)-1),ROW()-1)),"")</f>
        <v>45305.66</v>
      </c>
      <c r="S18" cm="1">
        <f t="array" ref="S18">IFERROR(INDEX($L$2:$L$501,SMALL(IF($M$2:$M$501=0,ROW($M$2:$M$501)-1),ROW()-1)),"")</f>
        <v>90761.77</v>
      </c>
      <c r="U18" cm="1">
        <f t="array" ref="U18">IFERROR(INDEX($C$2:$C$501,SMALL(IF($D$2:$D$501="France",ROW($D$2:$D$501)-1),ROW()-1)),"")</f>
        <v>679</v>
      </c>
      <c r="V18" cm="1">
        <f t="array" ref="V18">IFERROR(INDEX($C$2:$C$501,SMALL(IF($D$2:$D$501="Germany",ROW($D$2:$D$501)-1),ROW()-1)),"")</f>
        <v>547</v>
      </c>
      <c r="W18" cm="1">
        <f t="array" ref="W18">IFERROR(INDEX($C$2:$C$501,SMALL(IF($D$2:$D$501="Spain",ROW($D$2:$D$501)-1),ROW()-1)),"")</f>
        <v>588</v>
      </c>
    </row>
    <row r="19" spans="1:23" x14ac:dyDescent="0.35">
      <c r="A19">
        <v>18</v>
      </c>
      <c r="B19" t="s">
        <v>15</v>
      </c>
      <c r="C19">
        <v>596</v>
      </c>
      <c r="D19" t="s">
        <v>23</v>
      </c>
      <c r="E19" t="s">
        <v>25</v>
      </c>
      <c r="F19">
        <v>40</v>
      </c>
      <c r="G19">
        <v>7</v>
      </c>
      <c r="H19">
        <v>124186.11</v>
      </c>
      <c r="I19">
        <v>3</v>
      </c>
      <c r="J19">
        <v>1</v>
      </c>
      <c r="K19">
        <v>1</v>
      </c>
      <c r="L19">
        <v>108305.55</v>
      </c>
      <c r="M19">
        <v>0</v>
      </c>
      <c r="O19" t="str">
        <f t="shared" si="0"/>
        <v/>
      </c>
      <c r="P19">
        <f t="shared" si="1"/>
        <v>108305.55</v>
      </c>
      <c r="R19">
        <f t="array" ref="R19">IFERROR(INDEX($L$2:$L$501,SMALL(IF($M$2:$M$501=1,ROW($M$2:$M$501)-1),ROW()-1)),"")</f>
        <v>128936.13</v>
      </c>
      <c r="S19" cm="1">
        <f t="array" ref="S19">IFERROR(INDEX($L$2:$L$501,SMALL(IF($M$2:$M$501=0,ROW($M$2:$M$501)-1),ROW()-1)),"")</f>
        <v>82076.7</v>
      </c>
      <c r="U19" cm="1">
        <f t="array" ref="U19">IFERROR(INDEX($C$2:$C$501,SMALL(IF($D$2:$D$501="France",ROW($D$2:$D$501)-1),ROW()-1)),"")</f>
        <v>683</v>
      </c>
      <c r="V19" cm="1">
        <f t="array" ref="V19">IFERROR(INDEX($C$2:$C$501,SMALL(IF($D$2:$D$501="Germany",ROW($D$2:$D$501)-1),ROW()-1)),"")</f>
        <v>694</v>
      </c>
      <c r="W19" cm="1">
        <f t="array" ref="W19">IFERROR(INDEX($C$2:$C$501,SMALL(IF($D$2:$D$501="Spain",ROW($D$2:$D$501)-1),ROW()-1)),"")</f>
        <v>515</v>
      </c>
    </row>
    <row r="20" spans="1:23" x14ac:dyDescent="0.35">
      <c r="A20">
        <v>19</v>
      </c>
      <c r="B20" t="s">
        <v>20</v>
      </c>
      <c r="C20">
        <v>450</v>
      </c>
      <c r="D20" t="s">
        <v>22</v>
      </c>
      <c r="E20" t="s">
        <v>26</v>
      </c>
      <c r="F20">
        <v>78</v>
      </c>
      <c r="G20">
        <v>1</v>
      </c>
      <c r="H20">
        <v>224549.07</v>
      </c>
      <c r="I20">
        <v>4</v>
      </c>
      <c r="J20">
        <v>0</v>
      </c>
      <c r="K20">
        <v>1</v>
      </c>
      <c r="L20">
        <v>144262.57</v>
      </c>
      <c r="M20">
        <v>1</v>
      </c>
      <c r="O20">
        <f t="shared" si="0"/>
        <v>144262.57</v>
      </c>
      <c r="P20" t="str">
        <f t="shared" si="1"/>
        <v/>
      </c>
      <c r="R20">
        <f t="array" ref="R20">IFERROR(INDEX($L$2:$L$501,SMALL(IF($M$2:$M$501=1,ROW($M$2:$M$501)-1),ROW()-1)),"")</f>
        <v>39491.230000000003</v>
      </c>
      <c r="S20" cm="1">
        <f t="array" ref="S20">IFERROR(INDEX($L$2:$L$501,SMALL(IF($M$2:$M$501=0,ROW($M$2:$M$501)-1),ROW()-1)),"")</f>
        <v>22363.52</v>
      </c>
      <c r="U20" cm="1">
        <f t="array" ref="U20">IFERROR(INDEX($C$2:$C$501,SMALL(IF($D$2:$D$501="France",ROW($D$2:$D$501)-1),ROW()-1)),"")</f>
        <v>631</v>
      </c>
      <c r="V20" cm="1">
        <f t="array" ref="V20">IFERROR(INDEX($C$2:$C$501,SMALL(IF($D$2:$D$501="Germany",ROW($D$2:$D$501)-1),ROW()-1)),"")</f>
        <v>353</v>
      </c>
      <c r="W20" cm="1">
        <f t="array" ref="W20">IFERROR(INDEX($C$2:$C$501,SMALL(IF($D$2:$D$501="Spain",ROW($D$2:$D$501)-1),ROW()-1)),"")</f>
        <v>521</v>
      </c>
    </row>
    <row r="21" spans="1:23" x14ac:dyDescent="0.35">
      <c r="A21">
        <v>20</v>
      </c>
      <c r="B21" t="s">
        <v>21</v>
      </c>
      <c r="C21">
        <v>765</v>
      </c>
      <c r="D21" t="s">
        <v>22</v>
      </c>
      <c r="E21" t="s">
        <v>26</v>
      </c>
      <c r="F21">
        <v>20</v>
      </c>
      <c r="G21">
        <v>4</v>
      </c>
      <c r="H21">
        <v>246840.35</v>
      </c>
      <c r="I21">
        <v>2</v>
      </c>
      <c r="J21">
        <v>0</v>
      </c>
      <c r="K21">
        <v>0</v>
      </c>
      <c r="L21">
        <v>93337.31</v>
      </c>
      <c r="M21">
        <v>0</v>
      </c>
      <c r="O21" t="str">
        <f t="shared" si="0"/>
        <v/>
      </c>
      <c r="P21">
        <f t="shared" si="1"/>
        <v>93337.31</v>
      </c>
      <c r="R21">
        <f t="array" ref="R21">IFERROR(INDEX($L$2:$L$501,SMALL(IF($M$2:$M$501=1,ROW($M$2:$M$501)-1),ROW()-1)),"")</f>
        <v>118972.35</v>
      </c>
      <c r="S21" cm="1">
        <f t="array" ref="S21">IFERROR(INDEX($L$2:$L$501,SMALL(IF($M$2:$M$501=0,ROW($M$2:$M$501)-1),ROW()-1)),"")</f>
        <v>23908.03</v>
      </c>
      <c r="U21" cm="1">
        <f t="array" ref="U21">IFERROR(INDEX($C$2:$C$501,SMALL(IF($D$2:$D$501="France",ROW($D$2:$D$501)-1),ROW()-1)),"")</f>
        <v>469</v>
      </c>
      <c r="V21" cm="1">
        <f t="array" ref="V21">IFERROR(INDEX($C$2:$C$501,SMALL(IF($D$2:$D$501="Germany",ROW($D$2:$D$501)-1),ROW()-1)),"")</f>
        <v>538</v>
      </c>
      <c r="W21" cm="1">
        <f t="array" ref="W21">IFERROR(INDEX($C$2:$C$501,SMALL(IF($D$2:$D$501="Spain",ROW($D$2:$D$501)-1),ROW()-1)),"")</f>
        <v>561</v>
      </c>
    </row>
    <row r="22" spans="1:23" x14ac:dyDescent="0.35">
      <c r="A22">
        <v>21</v>
      </c>
      <c r="B22" t="s">
        <v>12</v>
      </c>
      <c r="C22">
        <v>571</v>
      </c>
      <c r="D22" t="s">
        <v>24</v>
      </c>
      <c r="E22" t="s">
        <v>25</v>
      </c>
      <c r="F22">
        <v>26</v>
      </c>
      <c r="G22">
        <v>6</v>
      </c>
      <c r="H22">
        <v>239474.66</v>
      </c>
      <c r="I22">
        <v>1</v>
      </c>
      <c r="J22">
        <v>0</v>
      </c>
      <c r="K22">
        <v>1</v>
      </c>
      <c r="L22">
        <v>71646.19</v>
      </c>
      <c r="M22">
        <v>1</v>
      </c>
      <c r="O22">
        <f t="shared" si="0"/>
        <v>71646.19</v>
      </c>
      <c r="P22" t="str">
        <f t="shared" si="1"/>
        <v/>
      </c>
      <c r="R22">
        <f t="array" ref="R22">IFERROR(INDEX($L$2:$L$501,SMALL(IF($M$2:$M$501=1,ROW($M$2:$M$501)-1),ROW()-1)),"")</f>
        <v>82076.7</v>
      </c>
      <c r="S22" cm="1">
        <f t="array" ref="S22">IFERROR(INDEX($L$2:$L$501,SMALL(IF($M$2:$M$501=0,ROW($M$2:$M$501)-1),ROW()-1)),"")</f>
        <v>81519.78</v>
      </c>
      <c r="U22" cm="1">
        <f t="array" ref="U22">IFERROR(INDEX($C$2:$C$501,SMALL(IF($D$2:$D$501="France",ROW($D$2:$D$501)-1),ROW()-1)),"")</f>
        <v>515</v>
      </c>
      <c r="V22" cm="1">
        <f t="array" ref="V22">IFERROR(INDEX($C$2:$C$501,SMALL(IF($D$2:$D$501="Germany",ROW($D$2:$D$501)-1),ROW()-1)),"")</f>
        <v>634</v>
      </c>
      <c r="W22" cm="1">
        <f t="array" ref="W22">IFERROR(INDEX($C$2:$C$501,SMALL(IF($D$2:$D$501="Spain",ROW($D$2:$D$501)-1),ROW()-1)),"")</f>
        <v>420</v>
      </c>
    </row>
    <row r="23" spans="1:23" x14ac:dyDescent="0.35">
      <c r="A23">
        <v>22</v>
      </c>
      <c r="B23" t="s">
        <v>16</v>
      </c>
      <c r="C23">
        <v>528</v>
      </c>
      <c r="D23" t="s">
        <v>23</v>
      </c>
      <c r="E23" t="s">
        <v>26</v>
      </c>
      <c r="F23">
        <v>90</v>
      </c>
      <c r="G23">
        <v>10</v>
      </c>
      <c r="H23">
        <v>192616.6</v>
      </c>
      <c r="I23">
        <v>4</v>
      </c>
      <c r="J23">
        <v>1</v>
      </c>
      <c r="K23">
        <v>0</v>
      </c>
      <c r="L23">
        <v>27413.39</v>
      </c>
      <c r="M23">
        <v>0</v>
      </c>
      <c r="O23" t="str">
        <f t="shared" si="0"/>
        <v/>
      </c>
      <c r="P23">
        <f t="shared" si="1"/>
        <v>27413.39</v>
      </c>
      <c r="R23">
        <f t="array" ref="R23">IFERROR(INDEX($L$2:$L$501,SMALL(IF($M$2:$M$501=1,ROW($M$2:$M$501)-1),ROW()-1)),"")</f>
        <v>48255.32</v>
      </c>
      <c r="S23" cm="1">
        <f t="array" ref="S23">IFERROR(INDEX($L$2:$L$501,SMALL(IF($M$2:$M$501=0,ROW($M$2:$M$501)-1),ROW()-1)),"")</f>
        <v>19803.7</v>
      </c>
      <c r="U23" cm="1">
        <f t="array" ref="U23">IFERROR(INDEX($C$2:$C$501,SMALL(IF($D$2:$D$501="France",ROW($D$2:$D$501)-1),ROW()-1)),"")</f>
        <v>733</v>
      </c>
      <c r="V23" cm="1">
        <f t="array" ref="V23">IFERROR(INDEX($C$2:$C$501,SMALL(IF($D$2:$D$501="Germany",ROW($D$2:$D$501)-1),ROW()-1)),"")</f>
        <v>465</v>
      </c>
      <c r="W23" cm="1">
        <f t="array" ref="W23">IFERROR(INDEX($C$2:$C$501,SMALL(IF($D$2:$D$501="Spain",ROW($D$2:$D$501)-1),ROW()-1)),"")</f>
        <v>740</v>
      </c>
    </row>
    <row r="24" spans="1:23" x14ac:dyDescent="0.35">
      <c r="A24">
        <v>23</v>
      </c>
      <c r="B24" t="s">
        <v>20</v>
      </c>
      <c r="C24">
        <v>524</v>
      </c>
      <c r="D24" t="s">
        <v>23</v>
      </c>
      <c r="E24" t="s">
        <v>25</v>
      </c>
      <c r="F24">
        <v>56</v>
      </c>
      <c r="G24">
        <v>7</v>
      </c>
      <c r="H24">
        <v>34050.82</v>
      </c>
      <c r="I24">
        <v>4</v>
      </c>
      <c r="J24">
        <v>0</v>
      </c>
      <c r="K24">
        <v>1</v>
      </c>
      <c r="L24">
        <v>130037.45</v>
      </c>
      <c r="M24">
        <v>1</v>
      </c>
      <c r="O24">
        <f t="shared" si="0"/>
        <v>130037.45</v>
      </c>
      <c r="P24" t="str">
        <f t="shared" si="1"/>
        <v/>
      </c>
      <c r="R24">
        <f t="array" ref="R24">IFERROR(INDEX($L$2:$L$501,SMALL(IF($M$2:$M$501=1,ROW($M$2:$M$501)-1),ROW()-1)),"")</f>
        <v>64920.41</v>
      </c>
      <c r="S24" cm="1">
        <f t="array" ref="S24">IFERROR(INDEX($L$2:$L$501,SMALL(IF($M$2:$M$501=0,ROW($M$2:$M$501)-1),ROW()-1)),"")</f>
        <v>124490.71</v>
      </c>
      <c r="U24" cm="1">
        <f t="array" ref="U24">IFERROR(INDEX($C$2:$C$501,SMALL(IF($D$2:$D$501="France",ROW($D$2:$D$501)-1),ROW()-1)),"")</f>
        <v>735</v>
      </c>
      <c r="V24" cm="1">
        <f t="array" ref="V24">IFERROR(INDEX($C$2:$C$501,SMALL(IF($D$2:$D$501="Germany",ROW($D$2:$D$501)-1),ROW()-1)),"")</f>
        <v>672</v>
      </c>
      <c r="W24" cm="1">
        <f t="array" ref="W24">IFERROR(INDEX($C$2:$C$501,SMALL(IF($D$2:$D$501="Spain",ROW($D$2:$D$501)-1),ROW()-1)),"")</f>
        <v>826</v>
      </c>
    </row>
    <row r="25" spans="1:23" x14ac:dyDescent="0.35">
      <c r="A25">
        <v>24</v>
      </c>
      <c r="B25" t="s">
        <v>16</v>
      </c>
      <c r="C25">
        <v>443</v>
      </c>
      <c r="D25" t="s">
        <v>24</v>
      </c>
      <c r="E25" t="s">
        <v>26</v>
      </c>
      <c r="F25">
        <v>70</v>
      </c>
      <c r="G25">
        <v>0</v>
      </c>
      <c r="H25">
        <v>116986.77</v>
      </c>
      <c r="I25">
        <v>2</v>
      </c>
      <c r="J25">
        <v>0</v>
      </c>
      <c r="K25">
        <v>0</v>
      </c>
      <c r="L25">
        <v>16197.08</v>
      </c>
      <c r="M25">
        <v>0</v>
      </c>
      <c r="O25" t="str">
        <f t="shared" si="0"/>
        <v/>
      </c>
      <c r="P25">
        <f t="shared" si="1"/>
        <v>16197.08</v>
      </c>
      <c r="R25">
        <f t="array" ref="R25">IFERROR(INDEX($L$2:$L$501,SMALL(IF($M$2:$M$501=1,ROW($M$2:$M$501)-1),ROW()-1)),"")</f>
        <v>110877.22</v>
      </c>
      <c r="S25" cm="1">
        <f t="array" ref="S25">IFERROR(INDEX($L$2:$L$501,SMALL(IF($M$2:$M$501=0,ROW($M$2:$M$501)-1),ROW()-1)),"")</f>
        <v>133876.07999999999</v>
      </c>
      <c r="U25" cm="1">
        <f t="array" ref="U25">IFERROR(INDEX($C$2:$C$501,SMALL(IF($D$2:$D$501="France",ROW($D$2:$D$501)-1),ROW()-1)),"")</f>
        <v>422</v>
      </c>
      <c r="V25" cm="1">
        <f t="array" ref="V25">IFERROR(INDEX($C$2:$C$501,SMALL(IF($D$2:$D$501="Germany",ROW($D$2:$D$501)-1),ROW()-1)),"")</f>
        <v>547</v>
      </c>
      <c r="W25" cm="1">
        <f t="array" ref="W25">IFERROR(INDEX($C$2:$C$501,SMALL(IF($D$2:$D$501="Spain",ROW($D$2:$D$501)-1),ROW()-1)),"")</f>
        <v>452</v>
      </c>
    </row>
    <row r="26" spans="1:23" x14ac:dyDescent="0.35">
      <c r="A26">
        <v>25</v>
      </c>
      <c r="B26" t="s">
        <v>18</v>
      </c>
      <c r="C26">
        <v>464</v>
      </c>
      <c r="D26" t="s">
        <v>23</v>
      </c>
      <c r="E26" t="s">
        <v>26</v>
      </c>
      <c r="F26">
        <v>81</v>
      </c>
      <c r="G26">
        <v>0</v>
      </c>
      <c r="H26">
        <v>242071.38</v>
      </c>
      <c r="I26">
        <v>2</v>
      </c>
      <c r="J26">
        <v>0</v>
      </c>
      <c r="K26">
        <v>0</v>
      </c>
      <c r="L26">
        <v>129312.08</v>
      </c>
      <c r="M26">
        <v>0</v>
      </c>
      <c r="O26" t="str">
        <f t="shared" si="0"/>
        <v/>
      </c>
      <c r="P26">
        <f t="shared" si="1"/>
        <v>129312.08</v>
      </c>
      <c r="R26">
        <f t="array" ref="R26">IFERROR(INDEX($L$2:$L$501,SMALL(IF($M$2:$M$501=1,ROW($M$2:$M$501)-1),ROW()-1)),"")</f>
        <v>21781.599999999999</v>
      </c>
      <c r="S26" cm="1">
        <f t="array" ref="S26">IFERROR(INDEX($L$2:$L$501,SMALL(IF($M$2:$M$501=0,ROW($M$2:$M$501)-1),ROW()-1)),"")</f>
        <v>118097.5</v>
      </c>
      <c r="U26" cm="1">
        <f t="array" ref="U26">IFERROR(INDEX($C$2:$C$501,SMALL(IF($D$2:$D$501="France",ROW($D$2:$D$501)-1),ROW()-1)),"")</f>
        <v>537</v>
      </c>
      <c r="V26" cm="1">
        <f t="array" ref="V26">IFERROR(INDEX($C$2:$C$501,SMALL(IF($D$2:$D$501="Germany",ROW($D$2:$D$501)-1),ROW()-1)),"")</f>
        <v>532</v>
      </c>
      <c r="W26" cm="1">
        <f t="array" ref="W26">IFERROR(INDEX($C$2:$C$501,SMALL(IF($D$2:$D$501="Spain",ROW($D$2:$D$501)-1),ROW()-1)),"")</f>
        <v>707</v>
      </c>
    </row>
    <row r="27" spans="1:23" x14ac:dyDescent="0.35">
      <c r="A27">
        <v>26</v>
      </c>
      <c r="B27" t="s">
        <v>14</v>
      </c>
      <c r="C27">
        <v>511</v>
      </c>
      <c r="D27" t="s">
        <v>23</v>
      </c>
      <c r="E27" t="s">
        <v>26</v>
      </c>
      <c r="F27">
        <v>39</v>
      </c>
      <c r="G27">
        <v>6</v>
      </c>
      <c r="H27">
        <v>88252.4</v>
      </c>
      <c r="I27">
        <v>2</v>
      </c>
      <c r="J27">
        <v>1</v>
      </c>
      <c r="K27">
        <v>1</v>
      </c>
      <c r="L27">
        <v>57083.95</v>
      </c>
      <c r="M27">
        <v>0</v>
      </c>
      <c r="O27" t="str">
        <f t="shared" si="0"/>
        <v/>
      </c>
      <c r="P27">
        <f t="shared" si="1"/>
        <v>57083.95</v>
      </c>
      <c r="R27">
        <f t="array" ref="R27">IFERROR(INDEX($L$2:$L$501,SMALL(IF($M$2:$M$501=1,ROW($M$2:$M$501)-1),ROW()-1)),"")</f>
        <v>125168.23</v>
      </c>
      <c r="S27" cm="1">
        <f t="array" ref="S27">IFERROR(INDEX($L$2:$L$501,SMALL(IF($M$2:$M$501=0,ROW($M$2:$M$501)-1),ROW()-1)),"")</f>
        <v>24025.919999999998</v>
      </c>
      <c r="U27" cm="1">
        <f t="array" ref="U27">IFERROR(INDEX($C$2:$C$501,SMALL(IF($D$2:$D$501="France",ROW($D$2:$D$501)-1),ROW()-1)),"")</f>
        <v>520</v>
      </c>
      <c r="V27" cm="1">
        <f t="array" ref="V27">IFERROR(INDEX($C$2:$C$501,SMALL(IF($D$2:$D$501="Germany",ROW($D$2:$D$501)-1),ROW()-1)),"")</f>
        <v>755</v>
      </c>
      <c r="W27" cm="1">
        <f t="array" ref="W27">IFERROR(INDEX($C$2:$C$501,SMALL(IF($D$2:$D$501="Spain",ROW($D$2:$D$501)-1),ROW()-1)),"")</f>
        <v>729</v>
      </c>
    </row>
    <row r="28" spans="1:23" x14ac:dyDescent="0.35">
      <c r="A28">
        <v>27</v>
      </c>
      <c r="B28" t="s">
        <v>13</v>
      </c>
      <c r="C28">
        <v>618</v>
      </c>
      <c r="D28" t="s">
        <v>22</v>
      </c>
      <c r="E28" t="s">
        <v>25</v>
      </c>
      <c r="F28">
        <v>22</v>
      </c>
      <c r="G28">
        <v>4</v>
      </c>
      <c r="H28">
        <v>39874.14</v>
      </c>
      <c r="I28">
        <v>3</v>
      </c>
      <c r="J28">
        <v>1</v>
      </c>
      <c r="K28">
        <v>1</v>
      </c>
      <c r="L28">
        <v>137124.10999999999</v>
      </c>
      <c r="M28">
        <v>1</v>
      </c>
      <c r="O28">
        <f t="shared" si="0"/>
        <v>137124.10999999999</v>
      </c>
      <c r="P28" t="str">
        <f t="shared" si="1"/>
        <v/>
      </c>
      <c r="R28">
        <f t="array" ref="R28">IFERROR(INDEX($L$2:$L$501,SMALL(IF($M$2:$M$501=1,ROW($M$2:$M$501)-1),ROW()-1)),"")</f>
        <v>40937.339999999997</v>
      </c>
      <c r="S28" cm="1">
        <f t="array" ref="S28">IFERROR(INDEX($L$2:$L$501,SMALL(IF($M$2:$M$501=0,ROW($M$2:$M$501)-1),ROW()-1)),"")</f>
        <v>103834.77</v>
      </c>
      <c r="U28" cm="1">
        <f t="array" ref="U28">IFERROR(INDEX($C$2:$C$501,SMALL(IF($D$2:$D$501="France",ROW($D$2:$D$501)-1),ROW()-1)),"")</f>
        <v>663</v>
      </c>
      <c r="V28" cm="1">
        <f t="array" ref="V28">IFERROR(INDEX($C$2:$C$501,SMALL(IF($D$2:$D$501="Germany",ROW($D$2:$D$501)-1),ROW()-1)),"")</f>
        <v>509</v>
      </c>
      <c r="W28" cm="1">
        <f t="array" ref="W28">IFERROR(INDEX($C$2:$C$501,SMALL(IF($D$2:$D$501="Spain",ROW($D$2:$D$501)-1),ROW()-1)),"")</f>
        <v>459</v>
      </c>
    </row>
    <row r="29" spans="1:23" x14ac:dyDescent="0.35">
      <c r="A29">
        <v>28</v>
      </c>
      <c r="B29" t="s">
        <v>14</v>
      </c>
      <c r="C29">
        <v>574</v>
      </c>
      <c r="D29" t="s">
        <v>24</v>
      </c>
      <c r="E29" t="s">
        <v>25</v>
      </c>
      <c r="F29">
        <v>49</v>
      </c>
      <c r="G29">
        <v>4</v>
      </c>
      <c r="H29">
        <v>47828.14</v>
      </c>
      <c r="I29">
        <v>3</v>
      </c>
      <c r="J29">
        <v>1</v>
      </c>
      <c r="K29">
        <v>0</v>
      </c>
      <c r="L29">
        <v>129087.2</v>
      </c>
      <c r="M29">
        <v>0</v>
      </c>
      <c r="O29" t="str">
        <f t="shared" si="0"/>
        <v/>
      </c>
      <c r="P29">
        <f t="shared" si="1"/>
        <v>129087.2</v>
      </c>
      <c r="R29">
        <f t="array" ref="R29">IFERROR(INDEX($L$2:$L$501,SMALL(IF($M$2:$M$501=1,ROW($M$2:$M$501)-1),ROW()-1)),"")</f>
        <v>29656.959999999999</v>
      </c>
      <c r="S29" cm="1">
        <f t="array" ref="S29">IFERROR(INDEX($L$2:$L$501,SMALL(IF($M$2:$M$501=0,ROW($M$2:$M$501)-1),ROW()-1)),"")</f>
        <v>56949.24</v>
      </c>
      <c r="U29" cm="1">
        <f t="array" ref="U29">IFERROR(INDEX($C$2:$C$501,SMALL(IF($D$2:$D$501="France",ROW($D$2:$D$501)-1),ROW()-1)),"")</f>
        <v>825</v>
      </c>
      <c r="V29" cm="1">
        <f t="array" ref="V29">IFERROR(INDEX($C$2:$C$501,SMALL(IF($D$2:$D$501="Germany",ROW($D$2:$D$501)-1),ROW()-1)),"")</f>
        <v>431</v>
      </c>
      <c r="W29" cm="1">
        <f t="array" ref="W29">IFERROR(INDEX($C$2:$C$501,SMALL(IF($D$2:$D$501="Spain",ROW($D$2:$D$501)-1),ROW()-1)),"")</f>
        <v>450</v>
      </c>
    </row>
    <row r="30" spans="1:23" x14ac:dyDescent="0.35">
      <c r="A30">
        <v>29</v>
      </c>
      <c r="B30" t="s">
        <v>12</v>
      </c>
      <c r="C30">
        <v>583</v>
      </c>
      <c r="D30" t="s">
        <v>23</v>
      </c>
      <c r="E30" t="s">
        <v>25</v>
      </c>
      <c r="F30">
        <v>55</v>
      </c>
      <c r="G30">
        <v>10</v>
      </c>
      <c r="H30">
        <v>137337.07999999999</v>
      </c>
      <c r="I30">
        <v>2</v>
      </c>
      <c r="J30">
        <v>0</v>
      </c>
      <c r="K30">
        <v>1</v>
      </c>
      <c r="L30">
        <v>107849.47</v>
      </c>
      <c r="M30">
        <v>1</v>
      </c>
      <c r="O30">
        <f t="shared" si="0"/>
        <v>107849.47</v>
      </c>
      <c r="P30" t="str">
        <f t="shared" si="1"/>
        <v/>
      </c>
      <c r="R30">
        <f t="array" ref="R30">IFERROR(INDEX($L$2:$L$501,SMALL(IF($M$2:$M$501=1,ROW($M$2:$M$501)-1),ROW()-1)),"")</f>
        <v>16131.69</v>
      </c>
      <c r="S30" cm="1">
        <f t="array" ref="S30">IFERROR(INDEX($L$2:$L$501,SMALL(IF($M$2:$M$501=0,ROW($M$2:$M$501)-1),ROW()-1)),"")</f>
        <v>140603.54</v>
      </c>
      <c r="U30" cm="1">
        <f t="array" ref="U30">IFERROR(INDEX($C$2:$C$501,SMALL(IF($D$2:$D$501="France",ROW($D$2:$D$501)-1),ROW()-1)),"")</f>
        <v>737</v>
      </c>
      <c r="V30" cm="1">
        <f t="array" ref="V30">IFERROR(INDEX($C$2:$C$501,SMALL(IF($D$2:$D$501="Germany",ROW($D$2:$D$501)-1),ROW()-1)),"")</f>
        <v>385</v>
      </c>
      <c r="W30" cm="1">
        <f t="array" ref="W30">IFERROR(INDEX($C$2:$C$501,SMALL(IF($D$2:$D$501="Spain",ROW($D$2:$D$501)-1),ROW()-1)),"")</f>
        <v>587</v>
      </c>
    </row>
    <row r="31" spans="1:23" x14ac:dyDescent="0.35">
      <c r="A31">
        <v>30</v>
      </c>
      <c r="B31" t="s">
        <v>13</v>
      </c>
      <c r="C31">
        <v>686</v>
      </c>
      <c r="D31" t="s">
        <v>24</v>
      </c>
      <c r="E31" t="s">
        <v>26</v>
      </c>
      <c r="F31">
        <v>25</v>
      </c>
      <c r="G31">
        <v>5</v>
      </c>
      <c r="H31">
        <v>5425.45</v>
      </c>
      <c r="I31">
        <v>4</v>
      </c>
      <c r="J31">
        <v>1</v>
      </c>
      <c r="K31">
        <v>0</v>
      </c>
      <c r="L31">
        <v>82076.7</v>
      </c>
      <c r="M31">
        <v>1</v>
      </c>
      <c r="O31">
        <f t="shared" si="0"/>
        <v>82076.7</v>
      </c>
      <c r="P31" t="str">
        <f t="shared" si="1"/>
        <v/>
      </c>
      <c r="R31">
        <f t="array" ref="R31">IFERROR(INDEX($L$2:$L$501,SMALL(IF($M$2:$M$501=1,ROW($M$2:$M$501)-1),ROW()-1)),"")</f>
        <v>130050.9</v>
      </c>
      <c r="S31" cm="1">
        <f t="array" ref="S31">IFERROR(INDEX($L$2:$L$501,SMALL(IF($M$2:$M$501=0,ROW($M$2:$M$501)-1),ROW()-1)),"")</f>
        <v>33012.78</v>
      </c>
      <c r="U31" cm="1">
        <f t="array" ref="U31">IFERROR(INDEX($C$2:$C$501,SMALL(IF($D$2:$D$501="France",ROW($D$2:$D$501)-1),ROW()-1)),"")</f>
        <v>556</v>
      </c>
      <c r="V31" cm="1">
        <f t="array" ref="V31">IFERROR(INDEX($C$2:$C$501,SMALL(IF($D$2:$D$501="Germany",ROW($D$2:$D$501)-1),ROW()-1)),"")</f>
        <v>593</v>
      </c>
      <c r="W31" cm="1">
        <f t="array" ref="W31">IFERROR(INDEX($C$2:$C$501,SMALL(IF($D$2:$D$501="Spain",ROW($D$2:$D$501)-1),ROW()-1)),"")</f>
        <v>600</v>
      </c>
    </row>
    <row r="32" spans="1:23" x14ac:dyDescent="0.35">
      <c r="A32">
        <v>31</v>
      </c>
      <c r="B32" t="s">
        <v>17</v>
      </c>
      <c r="C32">
        <v>416</v>
      </c>
      <c r="D32" t="s">
        <v>22</v>
      </c>
      <c r="E32" t="s">
        <v>25</v>
      </c>
      <c r="F32">
        <v>40</v>
      </c>
      <c r="G32">
        <v>1</v>
      </c>
      <c r="H32">
        <v>192565.36</v>
      </c>
      <c r="I32">
        <v>3</v>
      </c>
      <c r="J32">
        <v>0</v>
      </c>
      <c r="K32">
        <v>0</v>
      </c>
      <c r="L32">
        <v>106833.18</v>
      </c>
      <c r="M32">
        <v>1</v>
      </c>
      <c r="O32">
        <f t="shared" si="0"/>
        <v>106833.18</v>
      </c>
      <c r="P32" t="str">
        <f t="shared" si="1"/>
        <v/>
      </c>
      <c r="R32">
        <f t="array" ref="R32">IFERROR(INDEX($L$2:$L$501,SMALL(IF($M$2:$M$501=1,ROW($M$2:$M$501)-1),ROW()-1)),"")</f>
        <v>111048.16</v>
      </c>
      <c r="S32" cm="1">
        <f t="array" ref="S32">IFERROR(INDEX($L$2:$L$501,SMALL(IF($M$2:$M$501=0,ROW($M$2:$M$501)-1),ROW()-1)),"")</f>
        <v>86343.96</v>
      </c>
      <c r="U32" cm="1">
        <f t="array" ref="U32">IFERROR(INDEX($C$2:$C$501,SMALL(IF($D$2:$D$501="France",ROW($D$2:$D$501)-1),ROW()-1)),"")</f>
        <v>547</v>
      </c>
      <c r="V32" cm="1">
        <f t="array" ref="V32">IFERROR(INDEX($C$2:$C$501,SMALL(IF($D$2:$D$501="Germany",ROW($D$2:$D$501)-1),ROW()-1)),"")</f>
        <v>604</v>
      </c>
      <c r="W32" cm="1">
        <f t="array" ref="W32">IFERROR(INDEX($C$2:$C$501,SMALL(IF($D$2:$D$501="Spain",ROW($D$2:$D$501)-1),ROW()-1)),"")</f>
        <v>742</v>
      </c>
    </row>
    <row r="33" spans="1:23" x14ac:dyDescent="0.35">
      <c r="A33">
        <v>32</v>
      </c>
      <c r="B33" t="s">
        <v>14</v>
      </c>
      <c r="C33">
        <v>806</v>
      </c>
      <c r="D33" t="s">
        <v>23</v>
      </c>
      <c r="E33" t="s">
        <v>26</v>
      </c>
      <c r="F33">
        <v>60</v>
      </c>
      <c r="G33">
        <v>10</v>
      </c>
      <c r="H33">
        <v>98142.26</v>
      </c>
      <c r="I33">
        <v>4</v>
      </c>
      <c r="J33">
        <v>0</v>
      </c>
      <c r="K33">
        <v>1</v>
      </c>
      <c r="L33">
        <v>88655.49</v>
      </c>
      <c r="M33">
        <v>1</v>
      </c>
      <c r="O33">
        <f t="shared" si="0"/>
        <v>88655.49</v>
      </c>
      <c r="P33" t="str">
        <f t="shared" si="1"/>
        <v/>
      </c>
      <c r="R33">
        <f t="array" ref="R33">IFERROR(INDEX($L$2:$L$501,SMALL(IF($M$2:$M$501=1,ROW($M$2:$M$501)-1),ROW()-1)),"")</f>
        <v>10127.81</v>
      </c>
      <c r="S33" cm="1">
        <f t="array" ref="S33">IFERROR(INDEX($L$2:$L$501,SMALL(IF($M$2:$M$501=0,ROW($M$2:$M$501)-1),ROW()-1)),"")</f>
        <v>103458.26</v>
      </c>
      <c r="U33" cm="1">
        <f t="array" ref="U33">IFERROR(INDEX($C$2:$C$501,SMALL(IF($D$2:$D$501="France",ROW($D$2:$D$501)-1),ROW()-1)),"")</f>
        <v>547</v>
      </c>
      <c r="V33" cm="1">
        <f t="array" ref="V33">IFERROR(INDEX($C$2:$C$501,SMALL(IF($D$2:$D$501="Germany",ROW($D$2:$D$501)-1),ROW()-1)),"")</f>
        <v>371</v>
      </c>
      <c r="W33" cm="1">
        <f t="array" ref="W33">IFERROR(INDEX($C$2:$C$501,SMALL(IF($D$2:$D$501="Spain",ROW($D$2:$D$501)-1),ROW()-1)),"")</f>
        <v>579</v>
      </c>
    </row>
    <row r="34" spans="1:23" x14ac:dyDescent="0.35">
      <c r="A34">
        <v>33</v>
      </c>
      <c r="B34" t="s">
        <v>20</v>
      </c>
      <c r="C34">
        <v>849</v>
      </c>
      <c r="D34" t="s">
        <v>24</v>
      </c>
      <c r="E34" t="s">
        <v>26</v>
      </c>
      <c r="F34">
        <v>77</v>
      </c>
      <c r="G34">
        <v>2</v>
      </c>
      <c r="H34">
        <v>55839.55</v>
      </c>
      <c r="I34">
        <v>1</v>
      </c>
      <c r="J34">
        <v>1</v>
      </c>
      <c r="K34">
        <v>1</v>
      </c>
      <c r="L34">
        <v>45305.66</v>
      </c>
      <c r="M34">
        <v>1</v>
      </c>
      <c r="O34">
        <f t="shared" si="0"/>
        <v>45305.66</v>
      </c>
      <c r="P34" t="str">
        <f t="shared" si="1"/>
        <v/>
      </c>
      <c r="R34">
        <f t="array" ref="R34">IFERROR(INDEX($L$2:$L$501,SMALL(IF($M$2:$M$501=1,ROW($M$2:$M$501)-1),ROW()-1)),"")</f>
        <v>60885.4</v>
      </c>
      <c r="S34" cm="1">
        <f t="array" ref="S34">IFERROR(INDEX($L$2:$L$501,SMALL(IF($M$2:$M$501=0,ROW($M$2:$M$501)-1),ROW()-1)),"")</f>
        <v>50593.37</v>
      </c>
      <c r="U34" cm="1">
        <f t="array" ref="U34">IFERROR(INDEX($C$2:$C$501,SMALL(IF($D$2:$D$501="France",ROW($D$2:$D$501)-1),ROW()-1)),"")</f>
        <v>700</v>
      </c>
      <c r="V34" cm="1">
        <f t="array" ref="V34">IFERROR(INDEX($C$2:$C$501,SMALL(IF($D$2:$D$501="Germany",ROW($D$2:$D$501)-1),ROW()-1)),"")</f>
        <v>779</v>
      </c>
      <c r="W34" cm="1">
        <f t="array" ref="W34">IFERROR(INDEX($C$2:$C$501,SMALL(IF($D$2:$D$501="Spain",ROW($D$2:$D$501)-1),ROW()-1)),"")</f>
        <v>820</v>
      </c>
    </row>
    <row r="35" spans="1:23" x14ac:dyDescent="0.35">
      <c r="A35">
        <v>34</v>
      </c>
      <c r="B35" t="s">
        <v>21</v>
      </c>
      <c r="C35">
        <v>475</v>
      </c>
      <c r="D35" t="s">
        <v>23</v>
      </c>
      <c r="E35" t="s">
        <v>25</v>
      </c>
      <c r="F35">
        <v>72</v>
      </c>
      <c r="G35">
        <v>6</v>
      </c>
      <c r="H35">
        <v>72899.17</v>
      </c>
      <c r="I35">
        <v>1</v>
      </c>
      <c r="J35">
        <v>0</v>
      </c>
      <c r="K35">
        <v>0</v>
      </c>
      <c r="L35">
        <v>90761.77</v>
      </c>
      <c r="M35">
        <v>0</v>
      </c>
      <c r="O35" t="str">
        <f t="shared" si="0"/>
        <v/>
      </c>
      <c r="P35">
        <f t="shared" si="1"/>
        <v>90761.77</v>
      </c>
      <c r="R35">
        <f t="array" ref="R35">IFERROR(INDEX($L$2:$L$501,SMALL(IF($M$2:$M$501=1,ROW($M$2:$M$501)-1),ROW()-1)),"")</f>
        <v>68374.880000000005</v>
      </c>
      <c r="S35" cm="1">
        <f t="array" ref="S35">IFERROR(INDEX($L$2:$L$501,SMALL(IF($M$2:$M$501=0,ROW($M$2:$M$501)-1),ROW()-1)),"")</f>
        <v>10848.47</v>
      </c>
      <c r="U35" cm="1">
        <f t="array" ref="U35">IFERROR(INDEX($C$2:$C$501,SMALL(IF($D$2:$D$501="France",ROW($D$2:$D$501)-1),ROW()-1)),"")</f>
        <v>514</v>
      </c>
      <c r="V35" cm="1">
        <f t="array" ref="V35">IFERROR(INDEX($C$2:$C$501,SMALL(IF($D$2:$D$501="Germany",ROW($D$2:$D$501)-1),ROW()-1)),"")</f>
        <v>844</v>
      </c>
      <c r="W35" cm="1">
        <f t="array" ref="W35">IFERROR(INDEX($C$2:$C$501,SMALL(IF($D$2:$D$501="Spain",ROW($D$2:$D$501)-1),ROW()-1)),"")</f>
        <v>750</v>
      </c>
    </row>
    <row r="36" spans="1:23" x14ac:dyDescent="0.35">
      <c r="A36">
        <v>35</v>
      </c>
      <c r="B36" t="s">
        <v>14</v>
      </c>
      <c r="C36">
        <v>488</v>
      </c>
      <c r="D36" t="s">
        <v>24</v>
      </c>
      <c r="E36" t="s">
        <v>26</v>
      </c>
      <c r="F36">
        <v>91</v>
      </c>
      <c r="G36">
        <v>8</v>
      </c>
      <c r="H36">
        <v>200786.02</v>
      </c>
      <c r="I36">
        <v>1</v>
      </c>
      <c r="J36">
        <v>0</v>
      </c>
      <c r="K36">
        <v>0</v>
      </c>
      <c r="L36">
        <v>128936.13</v>
      </c>
      <c r="M36">
        <v>1</v>
      </c>
      <c r="O36">
        <f t="shared" si="0"/>
        <v>128936.13</v>
      </c>
      <c r="P36" t="str">
        <f t="shared" si="1"/>
        <v/>
      </c>
      <c r="R36">
        <f t="array" ref="R36">IFERROR(INDEX($L$2:$L$501,SMALL(IF($M$2:$M$501=1,ROW($M$2:$M$501)-1),ROW()-1)),"")</f>
        <v>48970.879999999997</v>
      </c>
      <c r="S36" cm="1">
        <f t="array" ref="S36">IFERROR(INDEX($L$2:$L$501,SMALL(IF($M$2:$M$501=0,ROW($M$2:$M$501)-1),ROW()-1)),"")</f>
        <v>92201.91</v>
      </c>
      <c r="U36" cm="1">
        <f t="array" ref="U36">IFERROR(INDEX($C$2:$C$501,SMALL(IF($D$2:$D$501="France",ROW($D$2:$D$501)-1),ROW()-1)),"")</f>
        <v>703</v>
      </c>
      <c r="V36" cm="1">
        <f t="array" ref="V36">IFERROR(INDEX($C$2:$C$501,SMALL(IF($D$2:$D$501="Germany",ROW($D$2:$D$501)-1),ROW()-1)),"")</f>
        <v>548</v>
      </c>
      <c r="W36" cm="1">
        <f t="array" ref="W36">IFERROR(INDEX($C$2:$C$501,SMALL(IF($D$2:$D$501="Spain",ROW($D$2:$D$501)-1),ROW()-1)),"")</f>
        <v>503</v>
      </c>
    </row>
    <row r="37" spans="1:23" x14ac:dyDescent="0.35">
      <c r="A37">
        <v>36</v>
      </c>
      <c r="B37" t="s">
        <v>14</v>
      </c>
      <c r="C37">
        <v>462</v>
      </c>
      <c r="D37" t="s">
        <v>22</v>
      </c>
      <c r="E37" t="s">
        <v>25</v>
      </c>
      <c r="F37">
        <v>69</v>
      </c>
      <c r="G37">
        <v>2</v>
      </c>
      <c r="H37">
        <v>9295.2900000000009</v>
      </c>
      <c r="I37">
        <v>3</v>
      </c>
      <c r="J37">
        <v>0</v>
      </c>
      <c r="K37">
        <v>0</v>
      </c>
      <c r="L37">
        <v>39491.230000000003</v>
      </c>
      <c r="M37">
        <v>1</v>
      </c>
      <c r="O37">
        <f t="shared" si="0"/>
        <v>39491.230000000003</v>
      </c>
      <c r="P37" t="str">
        <f t="shared" si="1"/>
        <v/>
      </c>
      <c r="R37">
        <f t="array" ref="R37">IFERROR(INDEX($L$2:$L$501,SMALL(IF($M$2:$M$501=1,ROW($M$2:$M$501)-1),ROW()-1)),"")</f>
        <v>99812.42</v>
      </c>
      <c r="S37" cm="1">
        <f t="array" ref="S37">IFERROR(INDEX($L$2:$L$501,SMALL(IF($M$2:$M$501=0,ROW($M$2:$M$501)-1),ROW()-1)),"")</f>
        <v>36831.440000000002</v>
      </c>
      <c r="U37" cm="1">
        <f t="array" ref="U37">IFERROR(INDEX($C$2:$C$501,SMALL(IF($D$2:$D$501="France",ROW($D$2:$D$501)-1),ROW()-1)),"")</f>
        <v>591</v>
      </c>
      <c r="V37" cm="1">
        <f t="array" ref="V37">IFERROR(INDEX($C$2:$C$501,SMALL(IF($D$2:$D$501="Germany",ROW($D$2:$D$501)-1),ROW()-1)),"")</f>
        <v>424</v>
      </c>
      <c r="W37" cm="1">
        <f t="array" ref="W37">IFERROR(INDEX($C$2:$C$501,SMALL(IF($D$2:$D$501="Spain",ROW($D$2:$D$501)-1),ROW()-1)),"")</f>
        <v>739</v>
      </c>
    </row>
    <row r="38" spans="1:23" x14ac:dyDescent="0.35">
      <c r="A38">
        <v>37</v>
      </c>
      <c r="B38" t="s">
        <v>14</v>
      </c>
      <c r="C38">
        <v>568</v>
      </c>
      <c r="D38" t="s">
        <v>22</v>
      </c>
      <c r="E38" t="s">
        <v>26</v>
      </c>
      <c r="F38">
        <v>41</v>
      </c>
      <c r="G38">
        <v>10</v>
      </c>
      <c r="H38">
        <v>192830.21</v>
      </c>
      <c r="I38">
        <v>2</v>
      </c>
      <c r="J38">
        <v>0</v>
      </c>
      <c r="K38">
        <v>0</v>
      </c>
      <c r="L38">
        <v>82076.7</v>
      </c>
      <c r="M38">
        <v>0</v>
      </c>
      <c r="O38" t="str">
        <f t="shared" si="0"/>
        <v/>
      </c>
      <c r="P38">
        <f t="shared" si="1"/>
        <v>82076.7</v>
      </c>
      <c r="R38">
        <f t="array" ref="R38">IFERROR(INDEX($L$2:$L$501,SMALL(IF($M$2:$M$501=1,ROW($M$2:$M$501)-1),ROW()-1)),"")</f>
        <v>128437.74</v>
      </c>
      <c r="S38" cm="1">
        <f t="array" ref="S38">IFERROR(INDEX($L$2:$L$501,SMALL(IF($M$2:$M$501=0,ROW($M$2:$M$501)-1),ROW()-1)),"")</f>
        <v>67445.009999999995</v>
      </c>
      <c r="U38" cm="1">
        <f t="array" ref="U38">IFERROR(INDEX($C$2:$C$501,SMALL(IF($D$2:$D$501="France",ROW($D$2:$D$501)-1),ROW()-1)),"")</f>
        <v>585</v>
      </c>
      <c r="V38" cm="1">
        <f t="array" ref="V38">IFERROR(INDEX($C$2:$C$501,SMALL(IF($D$2:$D$501="Germany",ROW($D$2:$D$501)-1),ROW()-1)),"")</f>
        <v>788</v>
      </c>
      <c r="W38" cm="1">
        <f t="array" ref="W38">IFERROR(INDEX($C$2:$C$501,SMALL(IF($D$2:$D$501="Spain",ROW($D$2:$D$501)-1),ROW()-1)),"")</f>
        <v>746</v>
      </c>
    </row>
    <row r="39" spans="1:23" x14ac:dyDescent="0.35">
      <c r="A39">
        <v>38</v>
      </c>
      <c r="B39" t="s">
        <v>15</v>
      </c>
      <c r="C39">
        <v>505</v>
      </c>
      <c r="D39" t="s">
        <v>23</v>
      </c>
      <c r="E39" t="s">
        <v>25</v>
      </c>
      <c r="F39">
        <v>43</v>
      </c>
      <c r="G39">
        <v>9</v>
      </c>
      <c r="H39">
        <v>190574.23</v>
      </c>
      <c r="I39">
        <v>1</v>
      </c>
      <c r="J39">
        <v>1</v>
      </c>
      <c r="K39">
        <v>0</v>
      </c>
      <c r="L39">
        <v>22363.52</v>
      </c>
      <c r="M39">
        <v>0</v>
      </c>
      <c r="O39" t="str">
        <f t="shared" si="0"/>
        <v/>
      </c>
      <c r="P39">
        <f t="shared" si="1"/>
        <v>22363.52</v>
      </c>
      <c r="R39">
        <f t="array" ref="R39">IFERROR(INDEX($L$2:$L$501,SMALL(IF($M$2:$M$501=1,ROW($M$2:$M$501)-1),ROW()-1)),"")</f>
        <v>138274.03</v>
      </c>
      <c r="S39" cm="1">
        <f t="array" ref="S39">IFERROR(INDEX($L$2:$L$501,SMALL(IF($M$2:$M$501=0,ROW($M$2:$M$501)-1),ROW()-1)),"")</f>
        <v>60075.81</v>
      </c>
      <c r="U39" cm="1">
        <f t="array" ref="U39">IFERROR(INDEX($C$2:$C$501,SMALL(IF($D$2:$D$501="France",ROW($D$2:$D$501)-1),ROW()-1)),"")</f>
        <v>846</v>
      </c>
      <c r="V39" cm="1">
        <f t="array" ref="V39">IFERROR(INDEX($C$2:$C$501,SMALL(IF($D$2:$D$501="Germany",ROW($D$2:$D$501)-1),ROW()-1)),"")</f>
        <v>428</v>
      </c>
      <c r="W39" cm="1">
        <f t="array" ref="W39">IFERROR(INDEX($C$2:$C$501,SMALL(IF($D$2:$D$501="Spain",ROW($D$2:$D$501)-1),ROW()-1)),"")</f>
        <v>696</v>
      </c>
    </row>
    <row r="40" spans="1:23" x14ac:dyDescent="0.35">
      <c r="A40">
        <v>39</v>
      </c>
      <c r="B40" t="s">
        <v>13</v>
      </c>
      <c r="C40">
        <v>534</v>
      </c>
      <c r="D40" t="s">
        <v>23</v>
      </c>
      <c r="E40" t="s">
        <v>26</v>
      </c>
      <c r="F40">
        <v>75</v>
      </c>
      <c r="G40">
        <v>9</v>
      </c>
      <c r="H40">
        <v>20385.3</v>
      </c>
      <c r="I40">
        <v>1</v>
      </c>
      <c r="J40">
        <v>0</v>
      </c>
      <c r="K40">
        <v>0</v>
      </c>
      <c r="L40">
        <v>118972.35</v>
      </c>
      <c r="M40">
        <v>1</v>
      </c>
      <c r="O40">
        <f t="shared" si="0"/>
        <v>118972.35</v>
      </c>
      <c r="P40" t="str">
        <f t="shared" si="1"/>
        <v/>
      </c>
      <c r="R40">
        <f t="array" ref="R40">IFERROR(INDEX($L$2:$L$501,SMALL(IF($M$2:$M$501=1,ROW($M$2:$M$501)-1),ROW()-1)),"")</f>
        <v>109301.93</v>
      </c>
      <c r="S40" cm="1">
        <f t="array" ref="S40">IFERROR(INDEX($L$2:$L$501,SMALL(IF($M$2:$M$501=0,ROW($M$2:$M$501)-1),ROW()-1)),"")</f>
        <v>18020.810000000001</v>
      </c>
      <c r="U40" cm="1">
        <f t="array" ref="U40">IFERROR(INDEX($C$2:$C$501,SMALL(IF($D$2:$D$501="France",ROW($D$2:$D$501)-1),ROW()-1)),"")</f>
        <v>477</v>
      </c>
      <c r="V40" cm="1">
        <f t="array" ref="V40">IFERROR(INDEX($C$2:$C$501,SMALL(IF($D$2:$D$501="Germany",ROW($D$2:$D$501)-1),ROW()-1)),"")</f>
        <v>483</v>
      </c>
      <c r="W40" cm="1">
        <f t="array" ref="W40">IFERROR(INDEX($C$2:$C$501,SMALL(IF($D$2:$D$501="Spain",ROW($D$2:$D$501)-1),ROW()-1)),"")</f>
        <v>668</v>
      </c>
    </row>
    <row r="41" spans="1:23" x14ac:dyDescent="0.35">
      <c r="A41">
        <v>40</v>
      </c>
      <c r="B41" t="s">
        <v>21</v>
      </c>
      <c r="C41">
        <v>470</v>
      </c>
      <c r="D41" t="s">
        <v>24</v>
      </c>
      <c r="E41" t="s">
        <v>26</v>
      </c>
      <c r="F41">
        <v>87</v>
      </c>
      <c r="G41">
        <v>5</v>
      </c>
      <c r="H41">
        <v>207759.1</v>
      </c>
      <c r="I41">
        <v>4</v>
      </c>
      <c r="J41">
        <v>0</v>
      </c>
      <c r="K41">
        <v>0</v>
      </c>
      <c r="L41">
        <v>23908.03</v>
      </c>
      <c r="M41">
        <v>0</v>
      </c>
      <c r="O41" t="str">
        <f t="shared" si="0"/>
        <v/>
      </c>
      <c r="P41">
        <f t="shared" si="1"/>
        <v>23908.03</v>
      </c>
      <c r="R41">
        <f t="array" ref="R41">IFERROR(INDEX($L$2:$L$501,SMALL(IF($M$2:$M$501=1,ROW($M$2:$M$501)-1),ROW()-1)),"")</f>
        <v>132532.96</v>
      </c>
      <c r="S41" cm="1">
        <f t="array" ref="S41">IFERROR(INDEX($L$2:$L$501,SMALL(IF($M$2:$M$501=0,ROW($M$2:$M$501)-1),ROW()-1)),"")</f>
        <v>11971.58</v>
      </c>
      <c r="U41" cm="1">
        <f t="array" ref="U41">IFERROR(INDEX($C$2:$C$501,SMALL(IF($D$2:$D$501="France",ROW($D$2:$D$501)-1),ROW()-1)),"")</f>
        <v>362</v>
      </c>
      <c r="V41" cm="1">
        <f t="array" ref="V41">IFERROR(INDEX($C$2:$C$501,SMALL(IF($D$2:$D$501="Germany",ROW($D$2:$D$501)-1),ROW()-1)),"")</f>
        <v>488</v>
      </c>
      <c r="W41" cm="1">
        <f t="array" ref="W41">IFERROR(INDEX($C$2:$C$501,SMALL(IF($D$2:$D$501="Spain",ROW($D$2:$D$501)-1),ROW()-1)),"")</f>
        <v>549</v>
      </c>
    </row>
    <row r="42" spans="1:23" x14ac:dyDescent="0.35">
      <c r="A42">
        <v>41</v>
      </c>
      <c r="B42" t="s">
        <v>16</v>
      </c>
      <c r="C42">
        <v>671</v>
      </c>
      <c r="D42" t="s">
        <v>23</v>
      </c>
      <c r="E42" t="s">
        <v>25</v>
      </c>
      <c r="F42">
        <v>63</v>
      </c>
      <c r="G42">
        <v>5</v>
      </c>
      <c r="H42">
        <v>43010.54</v>
      </c>
      <c r="I42">
        <v>3</v>
      </c>
      <c r="J42">
        <v>0</v>
      </c>
      <c r="K42">
        <v>1</v>
      </c>
      <c r="L42">
        <v>82076.7</v>
      </c>
      <c r="M42">
        <v>1</v>
      </c>
      <c r="O42">
        <f t="shared" si="0"/>
        <v>82076.7</v>
      </c>
      <c r="P42" t="str">
        <f t="shared" si="1"/>
        <v/>
      </c>
      <c r="R42">
        <f t="array" ref="R42">IFERROR(INDEX($L$2:$L$501,SMALL(IF($M$2:$M$501=1,ROW($M$2:$M$501)-1),ROW()-1)),"")</f>
        <v>142833.29999999999</v>
      </c>
      <c r="S42" cm="1">
        <f t="array" ref="S42">IFERROR(INDEX($L$2:$L$501,SMALL(IF($M$2:$M$501=0,ROW($M$2:$M$501)-1),ROW()-1)),"")</f>
        <v>53475.839999999997</v>
      </c>
      <c r="U42" cm="1">
        <f t="array" ref="U42">IFERROR(INDEX($C$2:$C$501,SMALL(IF($D$2:$D$501="France",ROW($D$2:$D$501)-1),ROW()-1)),"")</f>
        <v>468</v>
      </c>
      <c r="V42" cm="1">
        <f t="array" ref="V42">IFERROR(INDEX($C$2:$C$501,SMALL(IF($D$2:$D$501="Germany",ROW($D$2:$D$501)-1),ROW()-1)),"")</f>
        <v>688</v>
      </c>
      <c r="W42" cm="1">
        <f t="array" ref="W42">IFERROR(INDEX($C$2:$C$501,SMALL(IF($D$2:$D$501="Spain",ROW($D$2:$D$501)-1),ROW()-1)),"")</f>
        <v>651</v>
      </c>
    </row>
    <row r="43" spans="1:23" x14ac:dyDescent="0.35">
      <c r="A43">
        <v>42</v>
      </c>
      <c r="B43" t="s">
        <v>16</v>
      </c>
      <c r="C43">
        <v>798</v>
      </c>
      <c r="D43" t="s">
        <v>22</v>
      </c>
      <c r="E43" t="s">
        <v>25</v>
      </c>
      <c r="F43">
        <v>69</v>
      </c>
      <c r="G43">
        <v>8</v>
      </c>
      <c r="H43">
        <v>34108.089999999997</v>
      </c>
      <c r="I43">
        <v>3</v>
      </c>
      <c r="J43">
        <v>0</v>
      </c>
      <c r="K43">
        <v>0</v>
      </c>
      <c r="L43">
        <v>81519.78</v>
      </c>
      <c r="M43">
        <v>0</v>
      </c>
      <c r="O43" t="str">
        <f t="shared" si="0"/>
        <v/>
      </c>
      <c r="P43">
        <f t="shared" si="1"/>
        <v>81519.78</v>
      </c>
      <c r="R43">
        <f t="array" ref="R43">IFERROR(INDEX($L$2:$L$501,SMALL(IF($M$2:$M$501=1,ROW($M$2:$M$501)-1),ROW()-1)),"")</f>
        <v>145603.81</v>
      </c>
      <c r="S43" cm="1">
        <f t="array" ref="S43">IFERROR(INDEX($L$2:$L$501,SMALL(IF($M$2:$M$501=0,ROW($M$2:$M$501)-1),ROW()-1)),"")</f>
        <v>101131.11</v>
      </c>
      <c r="U43" cm="1">
        <f t="array" ref="U43">IFERROR(INDEX($C$2:$C$501,SMALL(IF($D$2:$D$501="France",ROW($D$2:$D$501)-1),ROW()-1)),"")</f>
        <v>724</v>
      </c>
      <c r="V43" cm="1">
        <f t="array" ref="V43">IFERROR(INDEX($C$2:$C$501,SMALL(IF($D$2:$D$501="Germany",ROW($D$2:$D$501)-1),ROW()-1)),"")</f>
        <v>367</v>
      </c>
      <c r="W43" cm="1">
        <f t="array" ref="W43">IFERROR(INDEX($C$2:$C$501,SMALL(IF($D$2:$D$501="Spain",ROW($D$2:$D$501)-1),ROW()-1)),"")</f>
        <v>397</v>
      </c>
    </row>
    <row r="44" spans="1:23" x14ac:dyDescent="0.35">
      <c r="A44">
        <v>43</v>
      </c>
      <c r="B44" t="s">
        <v>13</v>
      </c>
      <c r="C44">
        <v>547</v>
      </c>
      <c r="D44" t="s">
        <v>22</v>
      </c>
      <c r="E44" t="s">
        <v>26</v>
      </c>
      <c r="F44">
        <v>77</v>
      </c>
      <c r="G44">
        <v>5</v>
      </c>
      <c r="H44">
        <v>41600.300000000003</v>
      </c>
      <c r="I44">
        <v>4</v>
      </c>
      <c r="J44">
        <v>0</v>
      </c>
      <c r="K44">
        <v>0</v>
      </c>
      <c r="L44">
        <v>48255.32</v>
      </c>
      <c r="M44">
        <v>1</v>
      </c>
      <c r="O44">
        <f t="shared" si="0"/>
        <v>48255.32</v>
      </c>
      <c r="P44" t="str">
        <f t="shared" si="1"/>
        <v/>
      </c>
      <c r="R44">
        <f t="array" ref="R44">IFERROR(INDEX($L$2:$L$501,SMALL(IF($M$2:$M$501=1,ROW($M$2:$M$501)-1),ROW()-1)),"")</f>
        <v>133731.54999999999</v>
      </c>
      <c r="S44" cm="1">
        <f t="array" ref="S44">IFERROR(INDEX($L$2:$L$501,SMALL(IF($M$2:$M$501=0,ROW($M$2:$M$501)-1),ROW()-1)),"")</f>
        <v>117137.04</v>
      </c>
      <c r="U44" cm="1">
        <f t="array" ref="U44">IFERROR(INDEX($C$2:$C$501,SMALL(IF($D$2:$D$501="France",ROW($D$2:$D$501)-1),ROW()-1)),"")</f>
        <v>465</v>
      </c>
      <c r="V44" cm="1">
        <f t="array" ref="V44">IFERROR(INDEX($C$2:$C$501,SMALL(IF($D$2:$D$501="Germany",ROW($D$2:$D$501)-1),ROW()-1)),"")</f>
        <v>502</v>
      </c>
      <c r="W44" cm="1">
        <f t="array" ref="W44">IFERROR(INDEX($C$2:$C$501,SMALL(IF($D$2:$D$501="Spain",ROW($D$2:$D$501)-1),ROW()-1)),"")</f>
        <v>801</v>
      </c>
    </row>
    <row r="45" spans="1:23" x14ac:dyDescent="0.35">
      <c r="A45">
        <v>44</v>
      </c>
      <c r="B45" t="s">
        <v>18</v>
      </c>
      <c r="C45">
        <v>694</v>
      </c>
      <c r="D45" t="s">
        <v>22</v>
      </c>
      <c r="E45" t="s">
        <v>25</v>
      </c>
      <c r="F45">
        <v>62</v>
      </c>
      <c r="G45">
        <v>9</v>
      </c>
      <c r="H45">
        <v>689.5</v>
      </c>
      <c r="I45">
        <v>3</v>
      </c>
      <c r="J45">
        <v>0</v>
      </c>
      <c r="K45">
        <v>0</v>
      </c>
      <c r="L45">
        <v>19803.7</v>
      </c>
      <c r="M45">
        <v>0</v>
      </c>
      <c r="O45" t="str">
        <f t="shared" si="0"/>
        <v/>
      </c>
      <c r="P45">
        <f t="shared" si="1"/>
        <v>19803.7</v>
      </c>
      <c r="R45">
        <f t="array" ref="R45">IFERROR(INDEX($L$2:$L$501,SMALL(IF($M$2:$M$501=1,ROW($M$2:$M$501)-1),ROW()-1)),"")</f>
        <v>28817.75</v>
      </c>
      <c r="S45" cm="1">
        <f t="array" ref="S45">IFERROR(INDEX($L$2:$L$501,SMALL(IF($M$2:$M$501=0,ROW($M$2:$M$501)-1),ROW()-1)),"")</f>
        <v>121737.08</v>
      </c>
      <c r="U45" cm="1">
        <f t="array" ref="U45">IFERROR(INDEX($C$2:$C$501,SMALL(IF($D$2:$D$501="France",ROW($D$2:$D$501)-1),ROW()-1)),"")</f>
        <v>759</v>
      </c>
      <c r="V45" cm="1">
        <f t="array" ref="V45">IFERROR(INDEX($C$2:$C$501,SMALL(IF($D$2:$D$501="Germany",ROW($D$2:$D$501)-1),ROW()-1)),"")</f>
        <v>675</v>
      </c>
      <c r="W45" cm="1">
        <f t="array" ref="W45">IFERROR(INDEX($C$2:$C$501,SMALL(IF($D$2:$D$501="Spain",ROW($D$2:$D$501)-1),ROW()-1)),"")</f>
        <v>592</v>
      </c>
    </row>
    <row r="46" spans="1:23" x14ac:dyDescent="0.35">
      <c r="A46">
        <v>45</v>
      </c>
      <c r="B46" t="s">
        <v>15</v>
      </c>
      <c r="C46">
        <v>640</v>
      </c>
      <c r="D46" t="s">
        <v>23</v>
      </c>
      <c r="E46" t="s">
        <v>26</v>
      </c>
      <c r="F46">
        <v>44</v>
      </c>
      <c r="G46">
        <v>1</v>
      </c>
      <c r="H46">
        <v>133364.17000000001</v>
      </c>
      <c r="I46">
        <v>4</v>
      </c>
      <c r="J46">
        <v>1</v>
      </c>
      <c r="K46">
        <v>0</v>
      </c>
      <c r="L46">
        <v>124490.71</v>
      </c>
      <c r="M46">
        <v>0</v>
      </c>
      <c r="O46" t="str">
        <f t="shared" si="0"/>
        <v/>
      </c>
      <c r="P46">
        <f t="shared" si="1"/>
        <v>124490.71</v>
      </c>
      <c r="R46">
        <f t="array" ref="R46">IFERROR(INDEX($L$2:$L$501,SMALL(IF($M$2:$M$501=1,ROW($M$2:$M$501)-1),ROW()-1)),"")</f>
        <v>121172.65</v>
      </c>
      <c r="S46" cm="1">
        <f t="array" ref="S46">IFERROR(INDEX($L$2:$L$501,SMALL(IF($M$2:$M$501=0,ROW($M$2:$M$501)-1),ROW()-1)),"")</f>
        <v>15679.54</v>
      </c>
      <c r="U46" cm="1">
        <f t="array" ref="U46">IFERROR(INDEX($C$2:$C$501,SMALL(IF($D$2:$D$501="France",ROW($D$2:$D$501)-1),ROW()-1)),"")</f>
        <v>848</v>
      </c>
      <c r="V46" cm="1">
        <f t="array" ref="V46">IFERROR(INDEX($C$2:$C$501,SMALL(IF($D$2:$D$501="Germany",ROW($D$2:$D$501)-1),ROW()-1)),"")</f>
        <v>527</v>
      </c>
      <c r="W46" cm="1">
        <f t="array" ref="W46">IFERROR(INDEX($C$2:$C$501,SMALL(IF($D$2:$D$501="Spain",ROW($D$2:$D$501)-1),ROW()-1)),"")</f>
        <v>695</v>
      </c>
    </row>
    <row r="47" spans="1:23" x14ac:dyDescent="0.35">
      <c r="A47">
        <v>46</v>
      </c>
      <c r="B47" t="s">
        <v>14</v>
      </c>
      <c r="C47">
        <v>813</v>
      </c>
      <c r="D47" t="s">
        <v>24</v>
      </c>
      <c r="E47" t="s">
        <v>26</v>
      </c>
      <c r="F47">
        <v>61</v>
      </c>
      <c r="G47">
        <v>9</v>
      </c>
      <c r="H47">
        <v>92243.96</v>
      </c>
      <c r="I47">
        <v>2</v>
      </c>
      <c r="J47">
        <v>0</v>
      </c>
      <c r="K47">
        <v>1</v>
      </c>
      <c r="L47">
        <v>64920.41</v>
      </c>
      <c r="M47">
        <v>1</v>
      </c>
      <c r="O47">
        <f t="shared" si="0"/>
        <v>64920.41</v>
      </c>
      <c r="P47" t="str">
        <f t="shared" si="1"/>
        <v/>
      </c>
      <c r="R47">
        <f t="array" ref="R47">IFERROR(INDEX($L$2:$L$501,SMALL(IF($M$2:$M$501=1,ROW($M$2:$M$501)-1),ROW()-1)),"")</f>
        <v>147488.24</v>
      </c>
      <c r="S47" cm="1">
        <f t="array" ref="S47">IFERROR(INDEX($L$2:$L$501,SMALL(IF($M$2:$M$501=0,ROW($M$2:$M$501)-1),ROW()-1)),"")</f>
        <v>54061.89</v>
      </c>
      <c r="U47" cm="1">
        <f t="array" ref="U47">IFERROR(INDEX($C$2:$C$501,SMALL(IF($D$2:$D$501="France",ROW($D$2:$D$501)-1),ROW()-1)),"")</f>
        <v>460</v>
      </c>
      <c r="V47" cm="1">
        <f t="array" ref="V47">IFERROR(INDEX($C$2:$C$501,SMALL(IF($D$2:$D$501="Germany",ROW($D$2:$D$501)-1),ROW()-1)),"")</f>
        <v>502</v>
      </c>
      <c r="W47" cm="1">
        <f t="array" ref="W47">IFERROR(INDEX($C$2:$C$501,SMALL(IF($D$2:$D$501="Spain",ROW($D$2:$D$501)-1),ROW()-1)),"")</f>
        <v>475</v>
      </c>
    </row>
    <row r="48" spans="1:23" x14ac:dyDescent="0.35">
      <c r="A48">
        <v>47</v>
      </c>
      <c r="B48" t="s">
        <v>17</v>
      </c>
      <c r="C48">
        <v>353</v>
      </c>
      <c r="D48" t="s">
        <v>22</v>
      </c>
      <c r="E48" t="s">
        <v>26</v>
      </c>
      <c r="F48">
        <v>50</v>
      </c>
      <c r="G48">
        <v>4</v>
      </c>
      <c r="H48">
        <v>35813.31</v>
      </c>
      <c r="I48">
        <v>4</v>
      </c>
      <c r="J48">
        <v>0</v>
      </c>
      <c r="K48">
        <v>0</v>
      </c>
      <c r="L48">
        <v>133876.07999999999</v>
      </c>
      <c r="M48">
        <v>0</v>
      </c>
      <c r="O48" t="str">
        <f t="shared" si="0"/>
        <v/>
      </c>
      <c r="P48">
        <f t="shared" si="1"/>
        <v>133876.07999999999</v>
      </c>
      <c r="R48">
        <f t="array" ref="R48">IFERROR(INDEX($L$2:$L$501,SMALL(IF($M$2:$M$501=1,ROW($M$2:$M$501)-1),ROW()-1)),"")</f>
        <v>111587.44</v>
      </c>
      <c r="S48" cm="1">
        <f t="array" ref="S48">IFERROR(INDEX($L$2:$L$501,SMALL(IF($M$2:$M$501=0,ROW($M$2:$M$501)-1),ROW()-1)),"")</f>
        <v>101797.2</v>
      </c>
      <c r="U48" cm="1">
        <f t="array" ref="U48">IFERROR(INDEX($C$2:$C$501,SMALL(IF($D$2:$D$501="France",ROW($D$2:$D$501)-1),ROW()-1)),"")</f>
        <v>414</v>
      </c>
      <c r="V48" cm="1">
        <f t="array" ref="V48">IFERROR(INDEX($C$2:$C$501,SMALL(IF($D$2:$D$501="Germany",ROW($D$2:$D$501)-1),ROW()-1)),"")</f>
        <v>752</v>
      </c>
      <c r="W48" cm="1">
        <f t="array" ref="W48">IFERROR(INDEX($C$2:$C$501,SMALL(IF($D$2:$D$501="Spain",ROW($D$2:$D$501)-1),ROW()-1)),"")</f>
        <v>536</v>
      </c>
    </row>
    <row r="49" spans="1:23" x14ac:dyDescent="0.35">
      <c r="A49">
        <v>48</v>
      </c>
      <c r="B49" t="s">
        <v>15</v>
      </c>
      <c r="C49">
        <v>538</v>
      </c>
      <c r="D49" t="s">
        <v>22</v>
      </c>
      <c r="E49" t="s">
        <v>26</v>
      </c>
      <c r="F49">
        <v>48</v>
      </c>
      <c r="G49">
        <v>6</v>
      </c>
      <c r="H49">
        <v>217182.14</v>
      </c>
      <c r="I49">
        <v>2</v>
      </c>
      <c r="J49">
        <v>0</v>
      </c>
      <c r="K49">
        <v>1</v>
      </c>
      <c r="L49">
        <v>110877.22</v>
      </c>
      <c r="M49">
        <v>1</v>
      </c>
      <c r="O49">
        <f t="shared" si="0"/>
        <v>110877.22</v>
      </c>
      <c r="P49" t="str">
        <f t="shared" si="1"/>
        <v/>
      </c>
      <c r="R49">
        <f t="array" ref="R49">IFERROR(INDEX($L$2:$L$501,SMALL(IF($M$2:$M$501=1,ROW($M$2:$M$501)-1),ROW()-1)),"")</f>
        <v>103995.53</v>
      </c>
      <c r="S49" cm="1">
        <f t="array" ref="S49">IFERROR(INDEX($L$2:$L$501,SMALL(IF($M$2:$M$501=0,ROW($M$2:$M$501)-1),ROW()-1)),"")</f>
        <v>54977.06</v>
      </c>
      <c r="U49" cm="1">
        <f t="array" ref="U49">IFERROR(INDEX($C$2:$C$501,SMALL(IF($D$2:$D$501="France",ROW($D$2:$D$501)-1),ROW()-1)),"")</f>
        <v>423</v>
      </c>
      <c r="V49" cm="1">
        <f t="array" ref="V49">IFERROR(INDEX($C$2:$C$501,SMALL(IF($D$2:$D$501="Germany",ROW($D$2:$D$501)-1),ROW()-1)),"")</f>
        <v>396</v>
      </c>
      <c r="W49" cm="1">
        <f t="array" ref="W49">IFERROR(INDEX($C$2:$C$501,SMALL(IF($D$2:$D$501="Spain",ROW($D$2:$D$501)-1),ROW()-1)),"")</f>
        <v>738</v>
      </c>
    </row>
    <row r="50" spans="1:23" x14ac:dyDescent="0.35">
      <c r="A50">
        <v>49</v>
      </c>
      <c r="B50" t="s">
        <v>17</v>
      </c>
      <c r="C50">
        <v>588</v>
      </c>
      <c r="D50" t="s">
        <v>23</v>
      </c>
      <c r="E50" t="s">
        <v>26</v>
      </c>
      <c r="F50">
        <v>32</v>
      </c>
      <c r="G50">
        <v>9</v>
      </c>
      <c r="H50">
        <v>126550.42</v>
      </c>
      <c r="I50">
        <v>3</v>
      </c>
      <c r="J50">
        <v>0</v>
      </c>
      <c r="K50">
        <v>1</v>
      </c>
      <c r="L50">
        <v>21781.599999999999</v>
      </c>
      <c r="M50">
        <v>1</v>
      </c>
      <c r="O50">
        <f t="shared" si="0"/>
        <v>21781.599999999999</v>
      </c>
      <c r="P50" t="str">
        <f t="shared" si="1"/>
        <v/>
      </c>
      <c r="R50">
        <f t="array" ref="R50">IFERROR(INDEX($L$2:$L$501,SMALL(IF($M$2:$M$501=1,ROW($M$2:$M$501)-1),ROW()-1)),"")</f>
        <v>125609.39</v>
      </c>
      <c r="S50" cm="1">
        <f t="array" ref="S50">IFERROR(INDEX($L$2:$L$501,SMALL(IF($M$2:$M$501=0,ROW($M$2:$M$501)-1),ROW()-1)),"")</f>
        <v>27995.72</v>
      </c>
      <c r="U50" cm="1">
        <f t="array" ref="U50">IFERROR(INDEX($C$2:$C$501,SMALL(IF($D$2:$D$501="France",ROW($D$2:$D$501)-1),ROW()-1)),"")</f>
        <v>398</v>
      </c>
      <c r="V50" cm="1">
        <f t="array" ref="V50">IFERROR(INDEX($C$2:$C$501,SMALL(IF($D$2:$D$501="Germany",ROW($D$2:$D$501)-1),ROW()-1)),"")</f>
        <v>687</v>
      </c>
      <c r="W50" cm="1">
        <f t="array" ref="W50">IFERROR(INDEX($C$2:$C$501,SMALL(IF($D$2:$D$501="Spain",ROW($D$2:$D$501)-1),ROW()-1)),"")</f>
        <v>797</v>
      </c>
    </row>
    <row r="51" spans="1:23" x14ac:dyDescent="0.35">
      <c r="A51">
        <v>50</v>
      </c>
      <c r="B51" t="s">
        <v>13</v>
      </c>
      <c r="C51">
        <v>515</v>
      </c>
      <c r="D51" t="s">
        <v>23</v>
      </c>
      <c r="E51" t="s">
        <v>25</v>
      </c>
      <c r="F51">
        <v>89</v>
      </c>
      <c r="G51">
        <v>10</v>
      </c>
      <c r="H51">
        <v>87177.02</v>
      </c>
      <c r="I51">
        <v>1</v>
      </c>
      <c r="J51">
        <v>1</v>
      </c>
      <c r="K51">
        <v>1</v>
      </c>
      <c r="L51">
        <v>118097.5</v>
      </c>
      <c r="M51">
        <v>0</v>
      </c>
      <c r="O51" t="str">
        <f t="shared" si="0"/>
        <v/>
      </c>
      <c r="P51">
        <f t="shared" si="1"/>
        <v>118097.5</v>
      </c>
      <c r="R51">
        <f t="array" ref="R51">IFERROR(INDEX($L$2:$L$501,SMALL(IF($M$2:$M$501=1,ROW($M$2:$M$501)-1),ROW()-1)),"")</f>
        <v>128540.03</v>
      </c>
      <c r="S51" cm="1">
        <f t="array" ref="S51">IFERROR(INDEX($L$2:$L$501,SMALL(IF($M$2:$M$501=0,ROW($M$2:$M$501)-1),ROW()-1)),"")</f>
        <v>81112.42</v>
      </c>
      <c r="U51" cm="1">
        <f t="array" ref="U51">IFERROR(INDEX($C$2:$C$501,SMALL(IF($D$2:$D$501="France",ROW($D$2:$D$501)-1),ROW()-1)),"")</f>
        <v>426</v>
      </c>
      <c r="V51" cm="1">
        <f t="array" ref="V51">IFERROR(INDEX($C$2:$C$501,SMALL(IF($D$2:$D$501="Germany",ROW($D$2:$D$501)-1),ROW()-1)),"")</f>
        <v>507</v>
      </c>
      <c r="W51" cm="1">
        <f t="array" ref="W51">IFERROR(INDEX($C$2:$C$501,SMALL(IF($D$2:$D$501="Spain",ROW($D$2:$D$501)-1),ROW()-1)),"")</f>
        <v>481</v>
      </c>
    </row>
    <row r="52" spans="1:23" x14ac:dyDescent="0.35">
      <c r="A52">
        <v>51</v>
      </c>
      <c r="B52" t="s">
        <v>13</v>
      </c>
      <c r="C52">
        <v>521</v>
      </c>
      <c r="D52" t="s">
        <v>23</v>
      </c>
      <c r="E52" t="s">
        <v>25</v>
      </c>
      <c r="F52">
        <v>79</v>
      </c>
      <c r="G52">
        <v>8</v>
      </c>
      <c r="H52">
        <v>133180.14000000001</v>
      </c>
      <c r="I52">
        <v>3</v>
      </c>
      <c r="J52">
        <v>1</v>
      </c>
      <c r="K52">
        <v>1</v>
      </c>
      <c r="L52">
        <v>125168.23</v>
      </c>
      <c r="M52">
        <v>1</v>
      </c>
      <c r="O52">
        <f t="shared" si="0"/>
        <v>125168.23</v>
      </c>
      <c r="P52" t="str">
        <f t="shared" si="1"/>
        <v/>
      </c>
      <c r="R52">
        <f t="array" ref="R52">IFERROR(INDEX($L$2:$L$501,SMALL(IF($M$2:$M$501=1,ROW($M$2:$M$501)-1),ROW()-1)),"")</f>
        <v>61080.02</v>
      </c>
      <c r="S52" cm="1">
        <f t="array" ref="S52">IFERROR(INDEX($L$2:$L$501,SMALL(IF($M$2:$M$501=0,ROW($M$2:$M$501)-1),ROW()-1)),"")</f>
        <v>27793.35</v>
      </c>
      <c r="U52" cm="1">
        <f t="array" ref="U52">IFERROR(INDEX($C$2:$C$501,SMALL(IF($D$2:$D$501="France",ROW($D$2:$D$501)-1),ROW()-1)),"")</f>
        <v>843</v>
      </c>
      <c r="V52" cm="1">
        <f t="array" ref="V52">IFERROR(INDEX($C$2:$C$501,SMALL(IF($D$2:$D$501="Germany",ROW($D$2:$D$501)-1),ROW()-1)),"")</f>
        <v>652</v>
      </c>
      <c r="W52" cm="1">
        <f t="array" ref="W52">IFERROR(INDEX($C$2:$C$501,SMALL(IF($D$2:$D$501="Spain",ROW($D$2:$D$501)-1),ROW()-1)),"")</f>
        <v>774</v>
      </c>
    </row>
    <row r="53" spans="1:23" x14ac:dyDescent="0.35">
      <c r="A53">
        <v>52</v>
      </c>
      <c r="B53" t="s">
        <v>18</v>
      </c>
      <c r="C53">
        <v>561</v>
      </c>
      <c r="D53" t="s">
        <v>23</v>
      </c>
      <c r="E53" t="s">
        <v>25</v>
      </c>
      <c r="F53">
        <v>19</v>
      </c>
      <c r="G53">
        <v>10</v>
      </c>
      <c r="H53">
        <v>202302.98</v>
      </c>
      <c r="I53">
        <v>1</v>
      </c>
      <c r="J53">
        <v>1</v>
      </c>
      <c r="K53">
        <v>1</v>
      </c>
      <c r="L53">
        <v>24025.919999999998</v>
      </c>
      <c r="M53">
        <v>0</v>
      </c>
      <c r="O53" t="str">
        <f t="shared" si="0"/>
        <v/>
      </c>
      <c r="P53">
        <f t="shared" si="1"/>
        <v>24025.919999999998</v>
      </c>
      <c r="R53">
        <f t="array" ref="R53">IFERROR(INDEX($L$2:$L$501,SMALL(IF($M$2:$M$501=1,ROW($M$2:$M$501)-1),ROW()-1)),"")</f>
        <v>71498.5</v>
      </c>
      <c r="S53" cm="1">
        <f t="array" ref="S53">IFERROR(INDEX($L$2:$L$501,SMALL(IF($M$2:$M$501=0,ROW($M$2:$M$501)-1),ROW()-1)),"")</f>
        <v>102150.42</v>
      </c>
      <c r="U53" cm="1">
        <f t="array" ref="U53">IFERROR(INDEX($C$2:$C$501,SMALL(IF($D$2:$D$501="France",ROW($D$2:$D$501)-1),ROW()-1)),"")</f>
        <v>398</v>
      </c>
      <c r="V53" cm="1">
        <f t="array" ref="V53">IFERROR(INDEX($C$2:$C$501,SMALL(IF($D$2:$D$501="Germany",ROW($D$2:$D$501)-1),ROW()-1)),"")</f>
        <v>474</v>
      </c>
      <c r="W53" cm="1">
        <f t="array" ref="W53">IFERROR(INDEX($C$2:$C$501,SMALL(IF($D$2:$D$501="Spain",ROW($D$2:$D$501)-1),ROW()-1)),"")</f>
        <v>408</v>
      </c>
    </row>
    <row r="54" spans="1:23" x14ac:dyDescent="0.35">
      <c r="A54">
        <v>53</v>
      </c>
      <c r="B54" t="s">
        <v>12</v>
      </c>
      <c r="C54">
        <v>694</v>
      </c>
      <c r="D54" t="s">
        <v>24</v>
      </c>
      <c r="E54" t="s">
        <v>26</v>
      </c>
      <c r="F54">
        <v>65</v>
      </c>
      <c r="G54">
        <v>0</v>
      </c>
      <c r="H54">
        <v>42733.7</v>
      </c>
      <c r="I54">
        <v>3</v>
      </c>
      <c r="J54">
        <v>0</v>
      </c>
      <c r="K54">
        <v>1</v>
      </c>
      <c r="L54">
        <v>103834.77</v>
      </c>
      <c r="M54">
        <v>0</v>
      </c>
      <c r="O54" t="str">
        <f t="shared" si="0"/>
        <v/>
      </c>
      <c r="P54">
        <f t="shared" si="1"/>
        <v>103834.77</v>
      </c>
      <c r="R54">
        <f t="array" ref="R54">IFERROR(INDEX($L$2:$L$501,SMALL(IF($M$2:$M$501=1,ROW($M$2:$M$501)-1),ROW()-1)),"")</f>
        <v>144375.79999999999</v>
      </c>
      <c r="S54" cm="1">
        <f t="array" ref="S54">IFERROR(INDEX($L$2:$L$501,SMALL(IF($M$2:$M$501=0,ROW($M$2:$M$501)-1),ROW()-1)),"")</f>
        <v>51542.45</v>
      </c>
      <c r="U54" cm="1">
        <f t="array" ref="U54">IFERROR(INDEX($C$2:$C$501,SMALL(IF($D$2:$D$501="France",ROW($D$2:$D$501)-1),ROW()-1)),"")</f>
        <v>421</v>
      </c>
      <c r="V54" cm="1">
        <f t="array" ref="V54">IFERROR(INDEX($C$2:$C$501,SMALL(IF($D$2:$D$501="Germany",ROW($D$2:$D$501)-1),ROW()-1)),"")</f>
        <v>713</v>
      </c>
      <c r="W54" cm="1">
        <f t="array" ref="W54">IFERROR(INDEX($C$2:$C$501,SMALL(IF($D$2:$D$501="Spain",ROW($D$2:$D$501)-1),ROW()-1)),"")</f>
        <v>789</v>
      </c>
    </row>
    <row r="55" spans="1:23" x14ac:dyDescent="0.35">
      <c r="A55">
        <v>54</v>
      </c>
      <c r="B55" t="s">
        <v>12</v>
      </c>
      <c r="C55">
        <v>420</v>
      </c>
      <c r="D55" t="s">
        <v>23</v>
      </c>
      <c r="E55" t="s">
        <v>25</v>
      </c>
      <c r="F55">
        <v>61</v>
      </c>
      <c r="G55">
        <v>5</v>
      </c>
      <c r="H55">
        <v>216419.15</v>
      </c>
      <c r="I55">
        <v>4</v>
      </c>
      <c r="J55">
        <v>1</v>
      </c>
      <c r="K55">
        <v>1</v>
      </c>
      <c r="L55">
        <v>40937.339999999997</v>
      </c>
      <c r="M55">
        <v>1</v>
      </c>
      <c r="O55">
        <f t="shared" si="0"/>
        <v>40937.339999999997</v>
      </c>
      <c r="P55" t="str">
        <f t="shared" si="1"/>
        <v/>
      </c>
      <c r="R55">
        <f t="array" ref="R55">IFERROR(INDEX($L$2:$L$501,SMALL(IF($M$2:$M$501=1,ROW($M$2:$M$501)-1),ROW()-1)),"")</f>
        <v>21425.94</v>
      </c>
      <c r="S55" cm="1">
        <f t="array" ref="S55">IFERROR(INDEX($L$2:$L$501,SMALL(IF($M$2:$M$501=0,ROW($M$2:$M$501)-1),ROW()-1)),"")</f>
        <v>30554.85</v>
      </c>
      <c r="U55" cm="1">
        <f t="array" ref="U55">IFERROR(INDEX($C$2:$C$501,SMALL(IF($D$2:$D$501="France",ROW($D$2:$D$501)-1),ROW()-1)),"")</f>
        <v>696</v>
      </c>
      <c r="V55" cm="1">
        <f t="array" ref="V55">IFERROR(INDEX($C$2:$C$501,SMALL(IF($D$2:$D$501="Germany",ROW($D$2:$D$501)-1),ROW()-1)),"")</f>
        <v>839</v>
      </c>
      <c r="W55" cm="1">
        <f t="array" ref="W55">IFERROR(INDEX($C$2:$C$501,SMALL(IF($D$2:$D$501="Spain",ROW($D$2:$D$501)-1),ROW()-1)),"")</f>
        <v>511</v>
      </c>
    </row>
    <row r="56" spans="1:23" x14ac:dyDescent="0.35">
      <c r="A56">
        <v>55</v>
      </c>
      <c r="B56" t="s">
        <v>19</v>
      </c>
      <c r="C56">
        <v>498</v>
      </c>
      <c r="D56" t="s">
        <v>24</v>
      </c>
      <c r="E56" t="s">
        <v>25</v>
      </c>
      <c r="F56">
        <v>33</v>
      </c>
      <c r="G56">
        <v>6</v>
      </c>
      <c r="H56">
        <v>146361.20000000001</v>
      </c>
      <c r="I56">
        <v>4</v>
      </c>
      <c r="J56">
        <v>0</v>
      </c>
      <c r="K56">
        <v>1</v>
      </c>
      <c r="L56">
        <v>56949.24</v>
      </c>
      <c r="M56">
        <v>0</v>
      </c>
      <c r="O56" t="str">
        <f t="shared" si="0"/>
        <v/>
      </c>
      <c r="P56">
        <f t="shared" si="1"/>
        <v>56949.24</v>
      </c>
      <c r="R56">
        <f t="array" ref="R56">IFERROR(INDEX($L$2:$L$501,SMALL(IF($M$2:$M$501=1,ROW($M$2:$M$501)-1),ROW()-1)),"")</f>
        <v>110349.05</v>
      </c>
      <c r="S56" cm="1">
        <f t="array" ref="S56">IFERROR(INDEX($L$2:$L$501,SMALL(IF($M$2:$M$501=0,ROW($M$2:$M$501)-1),ROW()-1)),"")</f>
        <v>74188.759999999995</v>
      </c>
      <c r="U56" cm="1">
        <f t="array" ref="U56">IFERROR(INDEX($C$2:$C$501,SMALL(IF($D$2:$D$501="France",ROW($D$2:$D$501)-1),ROW()-1)),"")</f>
        <v>844</v>
      </c>
      <c r="V56" cm="1">
        <f t="array" ref="V56">IFERROR(INDEX($C$2:$C$501,SMALL(IF($D$2:$D$501="Germany",ROW($D$2:$D$501)-1),ROW()-1)),"")</f>
        <v>724</v>
      </c>
      <c r="W56" cm="1">
        <f t="array" ref="W56">IFERROR(INDEX($C$2:$C$501,SMALL(IF($D$2:$D$501="Spain",ROW($D$2:$D$501)-1),ROW()-1)),"")</f>
        <v>812</v>
      </c>
    </row>
    <row r="57" spans="1:23" x14ac:dyDescent="0.35">
      <c r="A57">
        <v>56</v>
      </c>
      <c r="B57" t="s">
        <v>20</v>
      </c>
      <c r="C57">
        <v>740</v>
      </c>
      <c r="D57" t="s">
        <v>24</v>
      </c>
      <c r="E57" t="s">
        <v>25</v>
      </c>
      <c r="F57">
        <v>86</v>
      </c>
      <c r="G57">
        <v>0</v>
      </c>
      <c r="H57">
        <v>153882.97</v>
      </c>
      <c r="I57">
        <v>2</v>
      </c>
      <c r="J57">
        <v>0</v>
      </c>
      <c r="K57">
        <v>1</v>
      </c>
      <c r="L57">
        <v>29656.959999999999</v>
      </c>
      <c r="M57">
        <v>1</v>
      </c>
      <c r="O57">
        <f t="shared" si="0"/>
        <v>29656.959999999999</v>
      </c>
      <c r="P57" t="str">
        <f t="shared" si="1"/>
        <v/>
      </c>
      <c r="R57">
        <f t="array" ref="R57">IFERROR(INDEX($L$2:$L$501,SMALL(IF($M$2:$M$501=1,ROW($M$2:$M$501)-1),ROW()-1)),"")</f>
        <v>117883.52</v>
      </c>
      <c r="S57" cm="1">
        <f t="array" ref="S57">IFERROR(INDEX($L$2:$L$501,SMALL(IF($M$2:$M$501=0,ROW($M$2:$M$501)-1),ROW()-1)),"")</f>
        <v>102543.92</v>
      </c>
      <c r="U57" cm="1">
        <f t="array" ref="U57">IFERROR(INDEX($C$2:$C$501,SMALL(IF($D$2:$D$501="France",ROW($D$2:$D$501)-1),ROW()-1)),"")</f>
        <v>725</v>
      </c>
      <c r="V57" cm="1">
        <f t="array" ref="V57">IFERROR(INDEX($C$2:$C$501,SMALL(IF($D$2:$D$501="Germany",ROW($D$2:$D$501)-1),ROW()-1)),"")</f>
        <v>496</v>
      </c>
      <c r="W57" cm="1">
        <f t="array" ref="W57">IFERROR(INDEX($C$2:$C$501,SMALL(IF($D$2:$D$501="Spain",ROW($D$2:$D$501)-1),ROW()-1)),"")</f>
        <v>485</v>
      </c>
    </row>
    <row r="58" spans="1:23" x14ac:dyDescent="0.35">
      <c r="A58">
        <v>57</v>
      </c>
      <c r="B58" t="s">
        <v>18</v>
      </c>
      <c r="C58">
        <v>634</v>
      </c>
      <c r="D58" t="s">
        <v>22</v>
      </c>
      <c r="E58" t="s">
        <v>26</v>
      </c>
      <c r="F58">
        <v>57</v>
      </c>
      <c r="G58">
        <v>6</v>
      </c>
      <c r="H58">
        <v>147135.54</v>
      </c>
      <c r="I58">
        <v>4</v>
      </c>
      <c r="J58">
        <v>1</v>
      </c>
      <c r="K58">
        <v>0</v>
      </c>
      <c r="L58">
        <v>16131.69</v>
      </c>
      <c r="M58">
        <v>1</v>
      </c>
      <c r="O58">
        <f t="shared" si="0"/>
        <v>16131.69</v>
      </c>
      <c r="P58" t="str">
        <f t="shared" si="1"/>
        <v/>
      </c>
      <c r="R58">
        <f t="array" ref="R58">IFERROR(INDEX($L$2:$L$501,SMALL(IF($M$2:$M$501=1,ROW($M$2:$M$501)-1),ROW()-1)),"")</f>
        <v>49103.38</v>
      </c>
      <c r="S58" cm="1">
        <f t="array" ref="S58">IFERROR(INDEX($L$2:$L$501,SMALL(IF($M$2:$M$501=0,ROW($M$2:$M$501)-1),ROW()-1)),"")</f>
        <v>75419.12</v>
      </c>
      <c r="U58" cm="1">
        <f t="array" ref="U58">IFERROR(INDEX($C$2:$C$501,SMALL(IF($D$2:$D$501="France",ROW($D$2:$D$501)-1),ROW()-1)),"")</f>
        <v>370</v>
      </c>
      <c r="V58" cm="1">
        <f t="array" ref="V58">IFERROR(INDEX($C$2:$C$501,SMALL(IF($D$2:$D$501="Germany",ROW($D$2:$D$501)-1),ROW()-1)),"")</f>
        <v>610</v>
      </c>
      <c r="W58" cm="1">
        <f t="array" ref="W58">IFERROR(INDEX($C$2:$C$501,SMALL(IF($D$2:$D$501="Spain",ROW($D$2:$D$501)-1),ROW()-1)),"")</f>
        <v>787</v>
      </c>
    </row>
    <row r="59" spans="1:23" x14ac:dyDescent="0.35">
      <c r="A59">
        <v>58</v>
      </c>
      <c r="B59" t="s">
        <v>21</v>
      </c>
      <c r="C59">
        <v>465</v>
      </c>
      <c r="D59" t="s">
        <v>22</v>
      </c>
      <c r="E59" t="s">
        <v>25</v>
      </c>
      <c r="F59">
        <v>18</v>
      </c>
      <c r="G59">
        <v>0</v>
      </c>
      <c r="H59">
        <v>55329.78</v>
      </c>
      <c r="I59">
        <v>1</v>
      </c>
      <c r="J59">
        <v>0</v>
      </c>
      <c r="K59">
        <v>0</v>
      </c>
      <c r="L59">
        <v>130050.9</v>
      </c>
      <c r="M59">
        <v>1</v>
      </c>
      <c r="O59">
        <f t="shared" si="0"/>
        <v>130050.9</v>
      </c>
      <c r="P59" t="str">
        <f t="shared" si="1"/>
        <v/>
      </c>
      <c r="R59">
        <f t="array" ref="R59">IFERROR(INDEX($L$2:$L$501,SMALL(IF($M$2:$M$501=1,ROW($M$2:$M$501)-1),ROW()-1)),"")</f>
        <v>76101.240000000005</v>
      </c>
      <c r="S59" cm="1">
        <f t="array" ref="S59">IFERROR(INDEX($L$2:$L$501,SMALL(IF($M$2:$M$501=0,ROW($M$2:$M$501)-1),ROW()-1)),"")</f>
        <v>108422.12</v>
      </c>
      <c r="U59" cm="1">
        <f t="array" ref="U59">IFERROR(INDEX($C$2:$C$501,SMALL(IF($D$2:$D$501="France",ROW($D$2:$D$501)-1),ROW()-1)),"")</f>
        <v>760</v>
      </c>
      <c r="V59" cm="1">
        <f t="array" ref="V59">IFERROR(INDEX($C$2:$C$501,SMALL(IF($D$2:$D$501="Germany",ROW($D$2:$D$501)-1),ROW()-1)),"")</f>
        <v>481</v>
      </c>
      <c r="W59" cm="1">
        <f t="array" ref="W59">IFERROR(INDEX($C$2:$C$501,SMALL(IF($D$2:$D$501="Spain",ROW($D$2:$D$501)-1),ROW()-1)),"")</f>
        <v>767</v>
      </c>
    </row>
    <row r="60" spans="1:23" x14ac:dyDescent="0.35">
      <c r="A60">
        <v>59</v>
      </c>
      <c r="B60" t="s">
        <v>18</v>
      </c>
      <c r="C60">
        <v>740</v>
      </c>
      <c r="D60" t="s">
        <v>23</v>
      </c>
      <c r="E60" t="s">
        <v>25</v>
      </c>
      <c r="F60">
        <v>76</v>
      </c>
      <c r="G60">
        <v>6</v>
      </c>
      <c r="H60">
        <v>46184.63</v>
      </c>
      <c r="I60">
        <v>4</v>
      </c>
      <c r="J60">
        <v>0</v>
      </c>
      <c r="K60">
        <v>1</v>
      </c>
      <c r="L60">
        <v>140603.54</v>
      </c>
      <c r="M60">
        <v>0</v>
      </c>
      <c r="O60" t="str">
        <f t="shared" si="0"/>
        <v/>
      </c>
      <c r="P60">
        <f t="shared" si="1"/>
        <v>140603.54</v>
      </c>
      <c r="R60">
        <f t="array" ref="R60">IFERROR(INDEX($L$2:$L$501,SMALL(IF($M$2:$M$501=1,ROW($M$2:$M$501)-1),ROW()-1)),"")</f>
        <v>82791.570000000007</v>
      </c>
      <c r="S60" cm="1">
        <f t="array" ref="S60">IFERROR(INDEX($L$2:$L$501,SMALL(IF($M$2:$M$501=0,ROW($M$2:$M$501)-1),ROW()-1)),"")</f>
        <v>65451.93</v>
      </c>
      <c r="U60" cm="1">
        <f t="array" ref="U60">IFERROR(INDEX($C$2:$C$501,SMALL(IF($D$2:$D$501="France",ROW($D$2:$D$501)-1),ROW()-1)),"")</f>
        <v>654</v>
      </c>
      <c r="V60" cm="1">
        <f t="array" ref="V60">IFERROR(INDEX($C$2:$C$501,SMALL(IF($D$2:$D$501="Germany",ROW($D$2:$D$501)-1),ROW()-1)),"")</f>
        <v>466</v>
      </c>
      <c r="W60" cm="1">
        <f t="array" ref="W60">IFERROR(INDEX($C$2:$C$501,SMALL(IF($D$2:$D$501="Spain",ROW($D$2:$D$501)-1),ROW()-1)),"")</f>
        <v>638</v>
      </c>
    </row>
    <row r="61" spans="1:23" x14ac:dyDescent="0.35">
      <c r="A61">
        <v>60</v>
      </c>
      <c r="B61" t="s">
        <v>16</v>
      </c>
      <c r="C61">
        <v>672</v>
      </c>
      <c r="D61" t="s">
        <v>22</v>
      </c>
      <c r="E61" t="s">
        <v>25</v>
      </c>
      <c r="F61">
        <v>30</v>
      </c>
      <c r="G61">
        <v>7</v>
      </c>
      <c r="H61">
        <v>119338.08</v>
      </c>
      <c r="I61">
        <v>2</v>
      </c>
      <c r="J61">
        <v>0</v>
      </c>
      <c r="K61">
        <v>1</v>
      </c>
      <c r="L61">
        <v>111048.16</v>
      </c>
      <c r="M61">
        <v>1</v>
      </c>
      <c r="O61">
        <f t="shared" si="0"/>
        <v>111048.16</v>
      </c>
      <c r="P61" t="str">
        <f t="shared" si="1"/>
        <v/>
      </c>
      <c r="R61">
        <f t="array" ref="R61">IFERROR(INDEX($L$2:$L$501,SMALL(IF($M$2:$M$501=1,ROW($M$2:$M$501)-1),ROW()-1)),"")</f>
        <v>127955.4</v>
      </c>
      <c r="S61" cm="1">
        <f t="array" ref="S61">IFERROR(INDEX($L$2:$L$501,SMALL(IF($M$2:$M$501=0,ROW($M$2:$M$501)-1),ROW()-1)),"")</f>
        <v>136090.56</v>
      </c>
      <c r="U61" cm="1">
        <f t="array" ref="U61">IFERROR(INDEX($C$2:$C$501,SMALL(IF($D$2:$D$501="France",ROW($D$2:$D$501)-1),ROW()-1)),"")</f>
        <v>615</v>
      </c>
      <c r="V61" cm="1">
        <f t="array" ref="V61">IFERROR(INDEX($C$2:$C$501,SMALL(IF($D$2:$D$501="Germany",ROW($D$2:$D$501)-1),ROW()-1)),"")</f>
        <v>816</v>
      </c>
      <c r="W61" cm="1">
        <f t="array" ref="W61">IFERROR(INDEX($C$2:$C$501,SMALL(IF($D$2:$D$501="Spain",ROW($D$2:$D$501)-1),ROW()-1)),"")</f>
        <v>640</v>
      </c>
    </row>
    <row r="62" spans="1:23" x14ac:dyDescent="0.35">
      <c r="A62">
        <v>61</v>
      </c>
      <c r="B62" t="s">
        <v>20</v>
      </c>
      <c r="C62">
        <v>442</v>
      </c>
      <c r="D62" t="s">
        <v>24</v>
      </c>
      <c r="E62" t="s">
        <v>26</v>
      </c>
      <c r="F62">
        <v>61</v>
      </c>
      <c r="G62">
        <v>1</v>
      </c>
      <c r="H62">
        <v>89085.68</v>
      </c>
      <c r="I62">
        <v>1</v>
      </c>
      <c r="J62">
        <v>1</v>
      </c>
      <c r="K62">
        <v>1</v>
      </c>
      <c r="L62">
        <v>33012.78</v>
      </c>
      <c r="M62">
        <v>0</v>
      </c>
      <c r="O62" t="str">
        <f t="shared" si="0"/>
        <v/>
      </c>
      <c r="P62">
        <f t="shared" si="1"/>
        <v>33012.78</v>
      </c>
      <c r="R62">
        <f t="array" ref="R62">IFERROR(INDEX($L$2:$L$501,SMALL(IF($M$2:$M$501=1,ROW($M$2:$M$501)-1),ROW()-1)),"")</f>
        <v>141665.95000000001</v>
      </c>
      <c r="S62" cm="1">
        <f t="array" ref="S62">IFERROR(INDEX($L$2:$L$501,SMALL(IF($M$2:$M$501=0,ROW($M$2:$M$501)-1),ROW()-1)),"")</f>
        <v>111107.96</v>
      </c>
      <c r="U62" cm="1">
        <f t="array" ref="U62">IFERROR(INDEX($C$2:$C$501,SMALL(IF($D$2:$D$501="France",ROW($D$2:$D$501)-1),ROW()-1)),"")</f>
        <v>722</v>
      </c>
      <c r="V62" cm="1">
        <f t="array" ref="V62">IFERROR(INDEX($C$2:$C$501,SMALL(IF($D$2:$D$501="Germany",ROW($D$2:$D$501)-1),ROW()-1)),"")</f>
        <v>529</v>
      </c>
      <c r="W62" cm="1">
        <f t="array" ref="W62">IFERROR(INDEX($C$2:$C$501,SMALL(IF($D$2:$D$501="Spain",ROW($D$2:$D$501)-1),ROW()-1)),"")</f>
        <v>437</v>
      </c>
    </row>
    <row r="63" spans="1:23" x14ac:dyDescent="0.35">
      <c r="A63">
        <v>62</v>
      </c>
      <c r="B63" t="s">
        <v>21</v>
      </c>
      <c r="C63">
        <v>826</v>
      </c>
      <c r="D63" t="s">
        <v>23</v>
      </c>
      <c r="E63" t="s">
        <v>25</v>
      </c>
      <c r="F63">
        <v>72</v>
      </c>
      <c r="G63">
        <v>1</v>
      </c>
      <c r="H63">
        <v>60209.09</v>
      </c>
      <c r="I63">
        <v>1</v>
      </c>
      <c r="J63">
        <v>0</v>
      </c>
      <c r="K63">
        <v>0</v>
      </c>
      <c r="L63">
        <v>10127.81</v>
      </c>
      <c r="M63">
        <v>1</v>
      </c>
      <c r="O63">
        <f t="shared" si="0"/>
        <v>10127.81</v>
      </c>
      <c r="P63" t="str">
        <f t="shared" si="1"/>
        <v/>
      </c>
      <c r="R63">
        <f t="array" ref="R63">IFERROR(INDEX($L$2:$L$501,SMALL(IF($M$2:$M$501=1,ROW($M$2:$M$501)-1),ROW()-1)),"")</f>
        <v>48022.06</v>
      </c>
      <c r="S63" cm="1">
        <f t="array" ref="S63">IFERROR(INDEX($L$2:$L$501,SMALL(IF($M$2:$M$501=0,ROW($M$2:$M$501)-1),ROW()-1)),"")</f>
        <v>84784.47</v>
      </c>
      <c r="U63" cm="1">
        <f t="array" ref="U63">IFERROR(INDEX($C$2:$C$501,SMALL(IF($D$2:$D$501="France",ROW($D$2:$D$501)-1),ROW()-1)),"")</f>
        <v>583</v>
      </c>
      <c r="V63" cm="1">
        <f t="array" ref="V63">IFERROR(INDEX($C$2:$C$501,SMALL(IF($D$2:$D$501="Germany",ROW($D$2:$D$501)-1),ROW()-1)),"")</f>
        <v>399</v>
      </c>
      <c r="W63" cm="1">
        <f t="array" ref="W63">IFERROR(INDEX($C$2:$C$501,SMALL(IF($D$2:$D$501="Spain",ROW($D$2:$D$501)-1),ROW()-1)),"")</f>
        <v>524</v>
      </c>
    </row>
    <row r="64" spans="1:23" x14ac:dyDescent="0.35">
      <c r="A64">
        <v>63</v>
      </c>
      <c r="B64" t="s">
        <v>21</v>
      </c>
      <c r="C64">
        <v>452</v>
      </c>
      <c r="D64" t="s">
        <v>23</v>
      </c>
      <c r="E64" t="s">
        <v>26</v>
      </c>
      <c r="F64">
        <v>65</v>
      </c>
      <c r="G64">
        <v>5</v>
      </c>
      <c r="H64">
        <v>145317.32</v>
      </c>
      <c r="I64">
        <v>3</v>
      </c>
      <c r="J64">
        <v>0</v>
      </c>
      <c r="K64">
        <v>0</v>
      </c>
      <c r="L64">
        <v>60885.4</v>
      </c>
      <c r="M64">
        <v>1</v>
      </c>
      <c r="O64">
        <f t="shared" si="0"/>
        <v>60885.4</v>
      </c>
      <c r="P64" t="str">
        <f t="shared" si="1"/>
        <v/>
      </c>
      <c r="R64">
        <f t="array" ref="R64">IFERROR(INDEX($L$2:$L$501,SMALL(IF($M$2:$M$501=1,ROW($M$2:$M$501)-1),ROW()-1)),"")</f>
        <v>36575.879999999997</v>
      </c>
      <c r="S64" cm="1">
        <f t="array" ref="S64">IFERROR(INDEX($L$2:$L$501,SMALL(IF($M$2:$M$501=0,ROW($M$2:$M$501)-1),ROW()-1)),"")</f>
        <v>101378.44</v>
      </c>
      <c r="U64" cm="1">
        <f t="array" ref="U64">IFERROR(INDEX($C$2:$C$501,SMALL(IF($D$2:$D$501="France",ROW($D$2:$D$501)-1),ROW()-1)),"")</f>
        <v>450</v>
      </c>
      <c r="V64" cm="1">
        <f t="array" ref="V64">IFERROR(INDEX($C$2:$C$501,SMALL(IF($D$2:$D$501="Germany",ROW($D$2:$D$501)-1),ROW()-1)),"")</f>
        <v>424</v>
      </c>
      <c r="W64" cm="1">
        <f t="array" ref="W64">IFERROR(INDEX($C$2:$C$501,SMALL(IF($D$2:$D$501="Spain",ROW($D$2:$D$501)-1),ROW()-1)),"")</f>
        <v>402</v>
      </c>
    </row>
    <row r="65" spans="1:23" x14ac:dyDescent="0.35">
      <c r="A65">
        <v>64</v>
      </c>
      <c r="B65" t="s">
        <v>15</v>
      </c>
      <c r="C65">
        <v>707</v>
      </c>
      <c r="D65" t="s">
        <v>23</v>
      </c>
      <c r="E65" t="s">
        <v>26</v>
      </c>
      <c r="F65">
        <v>40</v>
      </c>
      <c r="G65">
        <v>0</v>
      </c>
      <c r="H65">
        <v>214046.15</v>
      </c>
      <c r="I65">
        <v>1</v>
      </c>
      <c r="J65">
        <v>0</v>
      </c>
      <c r="K65">
        <v>1</v>
      </c>
      <c r="L65">
        <v>86343.96</v>
      </c>
      <c r="M65">
        <v>0</v>
      </c>
      <c r="O65" t="str">
        <f t="shared" si="0"/>
        <v/>
      </c>
      <c r="P65">
        <f t="shared" si="1"/>
        <v>86343.96</v>
      </c>
      <c r="R65">
        <f t="array" ref="R65">IFERROR(INDEX($L$2:$L$501,SMALL(IF($M$2:$M$501=1,ROW($M$2:$M$501)-1),ROW()-1)),"")</f>
        <v>38147.910000000003</v>
      </c>
      <c r="S65" cm="1">
        <f t="array" ref="S65">IFERROR(INDEX($L$2:$L$501,SMALL(IF($M$2:$M$501=0,ROW($M$2:$M$501)-1),ROW()-1)),"")</f>
        <v>23962.59</v>
      </c>
      <c r="U65" cm="1">
        <f t="array" ref="U65">IFERROR(INDEX($C$2:$C$501,SMALL(IF($D$2:$D$501="France",ROW($D$2:$D$501)-1),ROW()-1)),"")</f>
        <v>454</v>
      </c>
      <c r="V65" cm="1">
        <f t="array" ref="V65">IFERROR(INDEX($C$2:$C$501,SMALL(IF($D$2:$D$501="Germany",ROW($D$2:$D$501)-1),ROW()-1)),"")</f>
        <v>840</v>
      </c>
      <c r="W65" cm="1">
        <f t="array" ref="W65">IFERROR(INDEX($C$2:$C$501,SMALL(IF($D$2:$D$501="Spain",ROW($D$2:$D$501)-1),ROW()-1)),"")</f>
        <v>682</v>
      </c>
    </row>
    <row r="66" spans="1:23" x14ac:dyDescent="0.35">
      <c r="A66">
        <v>65</v>
      </c>
      <c r="B66" t="s">
        <v>16</v>
      </c>
      <c r="C66">
        <v>729</v>
      </c>
      <c r="D66" t="s">
        <v>23</v>
      </c>
      <c r="E66" t="s">
        <v>25</v>
      </c>
      <c r="F66">
        <v>49</v>
      </c>
      <c r="G66">
        <v>6</v>
      </c>
      <c r="H66">
        <v>139224.43</v>
      </c>
      <c r="I66">
        <v>4</v>
      </c>
      <c r="J66">
        <v>1</v>
      </c>
      <c r="K66">
        <v>1</v>
      </c>
      <c r="L66">
        <v>68374.880000000005</v>
      </c>
      <c r="M66">
        <v>1</v>
      </c>
      <c r="O66">
        <f t="shared" si="0"/>
        <v>68374.880000000005</v>
      </c>
      <c r="P66" t="str">
        <f t="shared" si="1"/>
        <v/>
      </c>
      <c r="R66">
        <f t="array" ref="R66">IFERROR(INDEX($L$2:$L$501,SMALL(IF($M$2:$M$501=1,ROW($M$2:$M$501)-1),ROW()-1)),"")</f>
        <v>17973.88</v>
      </c>
      <c r="S66" cm="1">
        <f t="array" ref="S66">IFERROR(INDEX($L$2:$L$501,SMALL(IF($M$2:$M$501=0,ROW($M$2:$M$501)-1),ROW()-1)),"")</f>
        <v>36037.629999999997</v>
      </c>
      <c r="U66" cm="1">
        <f t="array" ref="U66">IFERROR(INDEX($C$2:$C$501,SMALL(IF($D$2:$D$501="France",ROW($D$2:$D$501)-1),ROW()-1)),"")</f>
        <v>771</v>
      </c>
      <c r="V66" cm="1">
        <f t="array" ref="V66">IFERROR(INDEX($C$2:$C$501,SMALL(IF($D$2:$D$501="Germany",ROW($D$2:$D$501)-1),ROW()-1)),"")</f>
        <v>671</v>
      </c>
      <c r="W66" cm="1">
        <f t="array" ref="W66">IFERROR(INDEX($C$2:$C$501,SMALL(IF($D$2:$D$501="Spain",ROW($D$2:$D$501)-1),ROW()-1)),"")</f>
        <v>613</v>
      </c>
    </row>
    <row r="67" spans="1:23" x14ac:dyDescent="0.35">
      <c r="A67">
        <v>66</v>
      </c>
      <c r="B67" t="s">
        <v>16</v>
      </c>
      <c r="C67">
        <v>547</v>
      </c>
      <c r="D67" t="s">
        <v>22</v>
      </c>
      <c r="E67" t="s">
        <v>26</v>
      </c>
      <c r="F67">
        <v>52</v>
      </c>
      <c r="G67">
        <v>4</v>
      </c>
      <c r="H67">
        <v>226630.81</v>
      </c>
      <c r="I67">
        <v>3</v>
      </c>
      <c r="J67">
        <v>0</v>
      </c>
      <c r="K67">
        <v>0</v>
      </c>
      <c r="L67">
        <v>103458.26</v>
      </c>
      <c r="M67">
        <v>0</v>
      </c>
      <c r="O67" t="str">
        <f t="shared" ref="O67:O130" si="2">IF($M67=1,$L67,"")</f>
        <v/>
      </c>
      <c r="P67">
        <f t="shared" ref="P67:P130" si="3">IF($M67=0,$L67,"")</f>
        <v>103458.26</v>
      </c>
      <c r="R67">
        <f t="array" ref="R67">IFERROR(INDEX($L$2:$L$501,SMALL(IF($M$2:$M$501=1,ROW($M$2:$M$501)-1),ROW()-1)),"")</f>
        <v>13545.02</v>
      </c>
      <c r="S67" cm="1">
        <f t="array" ref="S67">IFERROR(INDEX($L$2:$L$501,SMALL(IF($M$2:$M$501=0,ROW($M$2:$M$501)-1),ROW()-1)),"")</f>
        <v>87587.83</v>
      </c>
      <c r="U67" cm="1">
        <f t="array" ref="U67">IFERROR(INDEX($C$2:$C$501,SMALL(IF($D$2:$D$501="France",ROW($D$2:$D$501)-1),ROW()-1)),"")</f>
        <v>728</v>
      </c>
      <c r="V67" cm="1">
        <f t="array" ref="V67">IFERROR(INDEX($C$2:$C$501,SMALL(IF($D$2:$D$501="Germany",ROW($D$2:$D$501)-1),ROW()-1)),"")</f>
        <v>530</v>
      </c>
      <c r="W67" cm="1">
        <f t="array" ref="W67">IFERROR(INDEX($C$2:$C$501,SMALL(IF($D$2:$D$501="Spain",ROW($D$2:$D$501)-1),ROW()-1)),"")</f>
        <v>643</v>
      </c>
    </row>
    <row r="68" spans="1:23" x14ac:dyDescent="0.35">
      <c r="A68">
        <v>67</v>
      </c>
      <c r="B68" t="s">
        <v>14</v>
      </c>
      <c r="C68">
        <v>459</v>
      </c>
      <c r="D68" t="s">
        <v>23</v>
      </c>
      <c r="E68" t="s">
        <v>25</v>
      </c>
      <c r="F68">
        <v>60</v>
      </c>
      <c r="G68">
        <v>10</v>
      </c>
      <c r="H68">
        <v>179198.75</v>
      </c>
      <c r="I68">
        <v>2</v>
      </c>
      <c r="J68">
        <v>1</v>
      </c>
      <c r="K68">
        <v>1</v>
      </c>
      <c r="L68">
        <v>48970.879999999997</v>
      </c>
      <c r="M68">
        <v>1</v>
      </c>
      <c r="O68">
        <f t="shared" si="2"/>
        <v>48970.879999999997</v>
      </c>
      <c r="P68" t="str">
        <f t="shared" si="3"/>
        <v/>
      </c>
      <c r="R68">
        <f t="array" ref="R68">IFERROR(INDEX($L$2:$L$501,SMALL(IF($M$2:$M$501=1,ROW($M$2:$M$501)-1),ROW()-1)),"")</f>
        <v>59763.13</v>
      </c>
      <c r="S68" cm="1">
        <f t="array" ref="S68">IFERROR(INDEX($L$2:$L$501,SMALL(IF($M$2:$M$501=0,ROW($M$2:$M$501)-1),ROW()-1)),"")</f>
        <v>81668.89</v>
      </c>
      <c r="U68" cm="1">
        <f t="array" ref="U68">IFERROR(INDEX($C$2:$C$501,SMALL(IF($D$2:$D$501="France",ROW($D$2:$D$501)-1),ROW()-1)),"")</f>
        <v>760</v>
      </c>
      <c r="V68" cm="1">
        <f t="array" ref="V68">IFERROR(INDEX($C$2:$C$501,SMALL(IF($D$2:$D$501="Germany",ROW($D$2:$D$501)-1),ROW()-1)),"")</f>
        <v>800</v>
      </c>
      <c r="W68" cm="1">
        <f t="array" ref="W68">IFERROR(INDEX($C$2:$C$501,SMALL(IF($D$2:$D$501="Spain",ROW($D$2:$D$501)-1),ROW()-1)),"")</f>
        <v>459</v>
      </c>
    </row>
    <row r="69" spans="1:23" x14ac:dyDescent="0.35">
      <c r="A69">
        <v>68</v>
      </c>
      <c r="B69" t="s">
        <v>19</v>
      </c>
      <c r="C69">
        <v>679</v>
      </c>
      <c r="D69" t="s">
        <v>24</v>
      </c>
      <c r="E69" t="s">
        <v>26</v>
      </c>
      <c r="F69">
        <v>86</v>
      </c>
      <c r="G69">
        <v>4</v>
      </c>
      <c r="H69">
        <v>225109.32</v>
      </c>
      <c r="I69">
        <v>3</v>
      </c>
      <c r="J69">
        <v>1</v>
      </c>
      <c r="K69">
        <v>0</v>
      </c>
      <c r="L69">
        <v>50593.37</v>
      </c>
      <c r="M69">
        <v>0</v>
      </c>
      <c r="O69" t="str">
        <f t="shared" si="2"/>
        <v/>
      </c>
      <c r="P69">
        <f t="shared" si="3"/>
        <v>50593.37</v>
      </c>
      <c r="R69">
        <f t="array" ref="R69">IFERROR(INDEX($L$2:$L$501,SMALL(IF($M$2:$M$501=1,ROW($M$2:$M$501)-1),ROW()-1)),"")</f>
        <v>114484.04</v>
      </c>
      <c r="S69" cm="1">
        <f t="array" ref="S69">IFERROR(INDEX($L$2:$L$501,SMALL(IF($M$2:$M$501=0,ROW($M$2:$M$501)-1),ROW()-1)),"")</f>
        <v>93162.76</v>
      </c>
      <c r="U69" cm="1">
        <f t="array" ref="U69">IFERROR(INDEX($C$2:$C$501,SMALL(IF($D$2:$D$501="France",ROW($D$2:$D$501)-1),ROW()-1)),"")</f>
        <v>422</v>
      </c>
      <c r="V69" cm="1">
        <f t="array" ref="V69">IFERROR(INDEX($C$2:$C$501,SMALL(IF($D$2:$D$501="Germany",ROW($D$2:$D$501)-1),ROW()-1)),"")</f>
        <v>608</v>
      </c>
      <c r="W69" cm="1">
        <f t="array" ref="W69">IFERROR(INDEX($C$2:$C$501,SMALL(IF($D$2:$D$501="Spain",ROW($D$2:$D$501)-1),ROW()-1)),"")</f>
        <v>783</v>
      </c>
    </row>
    <row r="70" spans="1:23" x14ac:dyDescent="0.35">
      <c r="A70">
        <v>69</v>
      </c>
      <c r="B70" t="s">
        <v>15</v>
      </c>
      <c r="C70">
        <v>450</v>
      </c>
      <c r="D70" t="s">
        <v>23</v>
      </c>
      <c r="E70" t="s">
        <v>25</v>
      </c>
      <c r="F70">
        <v>80</v>
      </c>
      <c r="G70">
        <v>4</v>
      </c>
      <c r="H70">
        <v>128388.87</v>
      </c>
      <c r="I70">
        <v>2</v>
      </c>
      <c r="J70">
        <v>0</v>
      </c>
      <c r="K70">
        <v>0</v>
      </c>
      <c r="L70">
        <v>10848.47</v>
      </c>
      <c r="M70">
        <v>0</v>
      </c>
      <c r="O70" t="str">
        <f t="shared" si="2"/>
        <v/>
      </c>
      <c r="P70">
        <f t="shared" si="3"/>
        <v>10848.47</v>
      </c>
      <c r="R70">
        <f t="array" ref="R70">IFERROR(INDEX($L$2:$L$501,SMALL(IF($M$2:$M$501=1,ROW($M$2:$M$501)-1),ROW()-1)),"")</f>
        <v>103143.51</v>
      </c>
      <c r="S70" cm="1">
        <f t="array" ref="S70">IFERROR(INDEX($L$2:$L$501,SMALL(IF($M$2:$M$501=0,ROW($M$2:$M$501)-1),ROW()-1)),"")</f>
        <v>43499.67</v>
      </c>
      <c r="U70" cm="1">
        <f t="array" ref="U70">IFERROR(INDEX($C$2:$C$501,SMALL(IF($D$2:$D$501="France",ROW($D$2:$D$501)-1),ROW()-1)),"")</f>
        <v>624</v>
      </c>
      <c r="V70" cm="1">
        <f t="array" ref="V70">IFERROR(INDEX($C$2:$C$501,SMALL(IF($D$2:$D$501="Germany",ROW($D$2:$D$501)-1),ROW()-1)),"")</f>
        <v>714</v>
      </c>
      <c r="W70" cm="1">
        <f t="array" ref="W70">IFERROR(INDEX($C$2:$C$501,SMALL(IF($D$2:$D$501="Spain",ROW($D$2:$D$501)-1),ROW()-1)),"")</f>
        <v>635</v>
      </c>
    </row>
    <row r="71" spans="1:23" x14ac:dyDescent="0.35">
      <c r="A71">
        <v>70</v>
      </c>
      <c r="B71" t="s">
        <v>17</v>
      </c>
      <c r="C71">
        <v>532</v>
      </c>
      <c r="D71" t="s">
        <v>22</v>
      </c>
      <c r="E71" t="s">
        <v>25</v>
      </c>
      <c r="F71">
        <v>54</v>
      </c>
      <c r="G71">
        <v>7</v>
      </c>
      <c r="H71">
        <v>146834.15</v>
      </c>
      <c r="I71">
        <v>2</v>
      </c>
      <c r="J71">
        <v>1</v>
      </c>
      <c r="K71">
        <v>1</v>
      </c>
      <c r="L71">
        <v>99812.42</v>
      </c>
      <c r="M71">
        <v>1</v>
      </c>
      <c r="O71">
        <f t="shared" si="2"/>
        <v>99812.42</v>
      </c>
      <c r="P71" t="str">
        <f t="shared" si="3"/>
        <v/>
      </c>
      <c r="R71">
        <f t="array" ref="R71">IFERROR(INDEX($L$2:$L$501,SMALL(IF($M$2:$M$501=1,ROW($M$2:$M$501)-1),ROW()-1)),"")</f>
        <v>142792.82999999999</v>
      </c>
      <c r="S71" cm="1">
        <f t="array" ref="S71">IFERROR(INDEX($L$2:$L$501,SMALL(IF($M$2:$M$501=0,ROW($M$2:$M$501)-1),ROW()-1)),"")</f>
        <v>108015.6</v>
      </c>
      <c r="U71" cm="1">
        <f t="array" ref="U71">IFERROR(INDEX($C$2:$C$501,SMALL(IF($D$2:$D$501="France",ROW($D$2:$D$501)-1),ROW()-1)),"")</f>
        <v>758</v>
      </c>
      <c r="V71" cm="1">
        <f t="array" ref="V71">IFERROR(INDEX($C$2:$C$501,SMALL(IF($D$2:$D$501="Germany",ROW($D$2:$D$501)-1),ROW()-1)),"")</f>
        <v>695</v>
      </c>
      <c r="W71" cm="1">
        <f t="array" ref="W71">IFERROR(INDEX($C$2:$C$501,SMALL(IF($D$2:$D$501="Spain",ROW($D$2:$D$501)-1),ROW()-1)),"")</f>
        <v>353</v>
      </c>
    </row>
    <row r="72" spans="1:23" x14ac:dyDescent="0.35">
      <c r="A72">
        <v>71</v>
      </c>
      <c r="B72" t="s">
        <v>13</v>
      </c>
      <c r="C72">
        <v>683</v>
      </c>
      <c r="D72" t="s">
        <v>24</v>
      </c>
      <c r="E72" t="s">
        <v>26</v>
      </c>
      <c r="F72">
        <v>62</v>
      </c>
      <c r="G72">
        <v>2</v>
      </c>
      <c r="H72">
        <v>88669.440000000002</v>
      </c>
      <c r="I72">
        <v>3</v>
      </c>
      <c r="J72">
        <v>1</v>
      </c>
      <c r="K72">
        <v>0</v>
      </c>
      <c r="L72">
        <v>128437.74</v>
      </c>
      <c r="M72">
        <v>1</v>
      </c>
      <c r="O72">
        <f t="shared" si="2"/>
        <v>128437.74</v>
      </c>
      <c r="P72" t="str">
        <f t="shared" si="3"/>
        <v/>
      </c>
      <c r="R72">
        <f t="array" ref="R72">IFERROR(INDEX($L$2:$L$501,SMALL(IF($M$2:$M$501=1,ROW($M$2:$M$501)-1),ROW()-1)),"")</f>
        <v>57655.65</v>
      </c>
      <c r="S72" cm="1">
        <f t="array" ref="S72">IFERROR(INDEX($L$2:$L$501,SMALL(IF($M$2:$M$501=0,ROW($M$2:$M$501)-1),ROW()-1)),"")</f>
        <v>13005.86</v>
      </c>
      <c r="U72" cm="1">
        <f t="array" ref="U72">IFERROR(INDEX($C$2:$C$501,SMALL(IF($D$2:$D$501="France",ROW($D$2:$D$501)-1),ROW()-1)),"")</f>
        <v>389</v>
      </c>
      <c r="V72" cm="1">
        <f t="array" ref="V72">IFERROR(INDEX($C$2:$C$501,SMALL(IF($D$2:$D$501="Germany",ROW($D$2:$D$501)-1),ROW()-1)),"")</f>
        <v>730</v>
      </c>
      <c r="W72" cm="1">
        <f t="array" ref="W72">IFERROR(INDEX($C$2:$C$501,SMALL(IF($D$2:$D$501="Spain",ROW($D$2:$D$501)-1),ROW()-1)),"")</f>
        <v>434</v>
      </c>
    </row>
    <row r="73" spans="1:23" x14ac:dyDescent="0.35">
      <c r="A73">
        <v>72</v>
      </c>
      <c r="B73" t="s">
        <v>14</v>
      </c>
      <c r="C73">
        <v>755</v>
      </c>
      <c r="D73" t="s">
        <v>22</v>
      </c>
      <c r="E73" t="s">
        <v>25</v>
      </c>
      <c r="F73">
        <v>88</v>
      </c>
      <c r="G73">
        <v>1</v>
      </c>
      <c r="H73">
        <v>185926.28</v>
      </c>
      <c r="I73">
        <v>1</v>
      </c>
      <c r="J73">
        <v>1</v>
      </c>
      <c r="K73">
        <v>0</v>
      </c>
      <c r="L73">
        <v>138274.03</v>
      </c>
      <c r="M73">
        <v>1</v>
      </c>
      <c r="O73">
        <f t="shared" si="2"/>
        <v>138274.03</v>
      </c>
      <c r="P73" t="str">
        <f t="shared" si="3"/>
        <v/>
      </c>
      <c r="R73">
        <f t="array" ref="R73">IFERROR(INDEX($L$2:$L$501,SMALL(IF($M$2:$M$501=1,ROW($M$2:$M$501)-1),ROW()-1)),"")</f>
        <v>122175.46</v>
      </c>
      <c r="S73" cm="1">
        <f t="array" ref="S73">IFERROR(INDEX($L$2:$L$501,SMALL(IF($M$2:$M$501=0,ROW($M$2:$M$501)-1),ROW()-1)),"")</f>
        <v>70775.05</v>
      </c>
      <c r="U73" cm="1">
        <f t="array" ref="U73">IFERROR(INDEX($C$2:$C$501,SMALL(IF($D$2:$D$501="France",ROW($D$2:$D$501)-1),ROW()-1)),"")</f>
        <v>473</v>
      </c>
      <c r="V73" cm="1">
        <f t="array" ref="V73">IFERROR(INDEX($C$2:$C$501,SMALL(IF($D$2:$D$501="Germany",ROW($D$2:$D$501)-1),ROW()-1)),"")</f>
        <v>723</v>
      </c>
      <c r="W73" cm="1">
        <f t="array" ref="W73">IFERROR(INDEX($C$2:$C$501,SMALL(IF($D$2:$D$501="Spain",ROW($D$2:$D$501)-1),ROW()-1)),"")</f>
        <v>558</v>
      </c>
    </row>
    <row r="74" spans="1:23" x14ac:dyDescent="0.35">
      <c r="A74">
        <v>73</v>
      </c>
      <c r="B74" t="s">
        <v>12</v>
      </c>
      <c r="C74">
        <v>509</v>
      </c>
      <c r="D74" t="s">
        <v>22</v>
      </c>
      <c r="E74" t="s">
        <v>26</v>
      </c>
      <c r="F74">
        <v>24</v>
      </c>
      <c r="G74">
        <v>4</v>
      </c>
      <c r="H74">
        <v>112469.92</v>
      </c>
      <c r="I74">
        <v>4</v>
      </c>
      <c r="J74">
        <v>0</v>
      </c>
      <c r="K74">
        <v>0</v>
      </c>
      <c r="L74">
        <v>92201.91</v>
      </c>
      <c r="M74">
        <v>0</v>
      </c>
      <c r="O74" t="str">
        <f t="shared" si="2"/>
        <v/>
      </c>
      <c r="P74">
        <f t="shared" si="3"/>
        <v>92201.91</v>
      </c>
      <c r="R74">
        <f t="array" ref="R74">IFERROR(INDEX($L$2:$L$501,SMALL(IF($M$2:$M$501=1,ROW($M$2:$M$501)-1),ROW()-1)),"")</f>
        <v>128074.02</v>
      </c>
      <c r="S74" cm="1">
        <f t="array" ref="S74">IFERROR(INDEX($L$2:$L$501,SMALL(IF($M$2:$M$501=0,ROW($M$2:$M$501)-1),ROW()-1)),"")</f>
        <v>22814.14</v>
      </c>
      <c r="U74" cm="1">
        <f t="array" ref="U74">IFERROR(INDEX($C$2:$C$501,SMALL(IF($D$2:$D$501="France",ROW($D$2:$D$501)-1),ROW()-1)),"")</f>
        <v>545</v>
      </c>
      <c r="V74" cm="1">
        <f t="array" ref="V74">IFERROR(INDEX($C$2:$C$501,SMALL(IF($D$2:$D$501="Germany",ROW($D$2:$D$501)-1),ROW()-1)),"")</f>
        <v>440</v>
      </c>
      <c r="W74" cm="1">
        <f t="array" ref="W74">IFERROR(INDEX($C$2:$C$501,SMALL(IF($D$2:$D$501="Spain",ROW($D$2:$D$501)-1),ROW()-1)),"")</f>
        <v>392</v>
      </c>
    </row>
    <row r="75" spans="1:23" x14ac:dyDescent="0.35">
      <c r="A75">
        <v>74</v>
      </c>
      <c r="B75" t="s">
        <v>16</v>
      </c>
      <c r="C75">
        <v>431</v>
      </c>
      <c r="D75" t="s">
        <v>22</v>
      </c>
      <c r="E75" t="s">
        <v>25</v>
      </c>
      <c r="F75">
        <v>66</v>
      </c>
      <c r="G75">
        <v>9</v>
      </c>
      <c r="H75">
        <v>103045.29</v>
      </c>
      <c r="I75">
        <v>2</v>
      </c>
      <c r="J75">
        <v>1</v>
      </c>
      <c r="K75">
        <v>0</v>
      </c>
      <c r="L75">
        <v>36831.440000000002</v>
      </c>
      <c r="M75">
        <v>0</v>
      </c>
      <c r="O75" t="str">
        <f t="shared" si="2"/>
        <v/>
      </c>
      <c r="P75">
        <f t="shared" si="3"/>
        <v>36831.440000000002</v>
      </c>
      <c r="R75">
        <f t="array" ref="R75">IFERROR(INDEX($L$2:$L$501,SMALL(IF($M$2:$M$501=1,ROW($M$2:$M$501)-1),ROW()-1)),"")</f>
        <v>106009.52</v>
      </c>
      <c r="S75" cm="1">
        <f t="array" ref="S75">IFERROR(INDEX($L$2:$L$501,SMALL(IF($M$2:$M$501=0,ROW($M$2:$M$501)-1),ROW()-1)),"")</f>
        <v>34759.360000000001</v>
      </c>
      <c r="U75" cm="1">
        <f t="array" ref="U75">IFERROR(INDEX($C$2:$C$501,SMALL(IF($D$2:$D$501="France",ROW($D$2:$D$501)-1),ROW()-1)),"")</f>
        <v>488</v>
      </c>
      <c r="V75" cm="1">
        <f t="array" ref="V75">IFERROR(INDEX($C$2:$C$501,SMALL(IF($D$2:$D$501="Germany",ROW($D$2:$D$501)-1),ROW()-1)),"")</f>
        <v>418</v>
      </c>
      <c r="W75" cm="1">
        <f t="array" ref="W75">IFERROR(INDEX($C$2:$C$501,SMALL(IF($D$2:$D$501="Spain",ROW($D$2:$D$501)-1),ROW()-1)),"")</f>
        <v>848</v>
      </c>
    </row>
    <row r="76" spans="1:23" x14ac:dyDescent="0.35">
      <c r="A76">
        <v>75</v>
      </c>
      <c r="B76" t="s">
        <v>18</v>
      </c>
      <c r="C76">
        <v>385</v>
      </c>
      <c r="D76" t="s">
        <v>22</v>
      </c>
      <c r="E76" t="s">
        <v>26</v>
      </c>
      <c r="F76">
        <v>27</v>
      </c>
      <c r="G76">
        <v>8</v>
      </c>
      <c r="H76">
        <v>35744.699999999997</v>
      </c>
      <c r="I76">
        <v>1</v>
      </c>
      <c r="J76">
        <v>0</v>
      </c>
      <c r="K76">
        <v>1</v>
      </c>
      <c r="L76">
        <v>67445.009999999995</v>
      </c>
      <c r="M76">
        <v>0</v>
      </c>
      <c r="O76" t="str">
        <f t="shared" si="2"/>
        <v/>
      </c>
      <c r="P76">
        <f t="shared" si="3"/>
        <v>67445.009999999995</v>
      </c>
      <c r="R76">
        <f t="array" ref="R76">IFERROR(INDEX($L$2:$L$501,SMALL(IF($M$2:$M$501=1,ROW($M$2:$M$501)-1),ROW()-1)),"")</f>
        <v>60175.22</v>
      </c>
      <c r="S76" cm="1">
        <f t="array" ref="S76">IFERROR(INDEX($L$2:$L$501,SMALL(IF($M$2:$M$501=0,ROW($M$2:$M$501)-1),ROW()-1)),"")</f>
        <v>55585.67</v>
      </c>
      <c r="U76" cm="1">
        <f t="array" ref="U76">IFERROR(INDEX($C$2:$C$501,SMALL(IF($D$2:$D$501="France",ROW($D$2:$D$501)-1),ROW()-1)),"")</f>
        <v>740</v>
      </c>
      <c r="V76" cm="1">
        <f t="array" ref="V76">IFERROR(INDEX($C$2:$C$501,SMALL(IF($D$2:$D$501="Germany",ROW($D$2:$D$501)-1),ROW()-1)),"")</f>
        <v>360</v>
      </c>
      <c r="W76" cm="1">
        <f t="array" ref="W76">IFERROR(INDEX($C$2:$C$501,SMALL(IF($D$2:$D$501="Spain",ROW($D$2:$D$501)-1),ROW()-1)),"")</f>
        <v>378</v>
      </c>
    </row>
    <row r="77" spans="1:23" x14ac:dyDescent="0.35">
      <c r="A77">
        <v>76</v>
      </c>
      <c r="B77" t="s">
        <v>18</v>
      </c>
      <c r="C77">
        <v>587</v>
      </c>
      <c r="D77" t="s">
        <v>23</v>
      </c>
      <c r="E77" t="s">
        <v>26</v>
      </c>
      <c r="F77">
        <v>46</v>
      </c>
      <c r="G77">
        <v>4</v>
      </c>
      <c r="H77">
        <v>88638.62</v>
      </c>
      <c r="I77">
        <v>2</v>
      </c>
      <c r="J77">
        <v>1</v>
      </c>
      <c r="K77">
        <v>0</v>
      </c>
      <c r="L77">
        <v>60075.81</v>
      </c>
      <c r="M77">
        <v>0</v>
      </c>
      <c r="O77" t="str">
        <f t="shared" si="2"/>
        <v/>
      </c>
      <c r="P77">
        <f t="shared" si="3"/>
        <v>60075.81</v>
      </c>
      <c r="R77">
        <f t="array" ref="R77">IFERROR(INDEX($L$2:$L$501,SMALL(IF($M$2:$M$501=1,ROW($M$2:$M$501)-1),ROW()-1)),"")</f>
        <v>11462.63</v>
      </c>
      <c r="S77" cm="1">
        <f t="array" ref="S77">IFERROR(INDEX($L$2:$L$501,SMALL(IF($M$2:$M$501=0,ROW($M$2:$M$501)-1),ROW()-1)),"")</f>
        <v>140671.21</v>
      </c>
      <c r="U77" cm="1">
        <f t="array" ref="U77">IFERROR(INDEX($C$2:$C$501,SMALL(IF($D$2:$D$501="France",ROW($D$2:$D$501)-1),ROW()-1)),"")</f>
        <v>791</v>
      </c>
      <c r="V77" cm="1">
        <f t="array" ref="V77">IFERROR(INDEX($C$2:$C$501,SMALL(IF($D$2:$D$501="Germany",ROW($D$2:$D$501)-1),ROW()-1)),"")</f>
        <v>575</v>
      </c>
      <c r="W77" cm="1">
        <f t="array" ref="W77">IFERROR(INDEX($C$2:$C$501,SMALL(IF($D$2:$D$501="Spain",ROW($D$2:$D$501)-1),ROW()-1)),"")</f>
        <v>693</v>
      </c>
    </row>
    <row r="78" spans="1:23" x14ac:dyDescent="0.35">
      <c r="A78">
        <v>77</v>
      </c>
      <c r="B78" t="s">
        <v>19</v>
      </c>
      <c r="C78">
        <v>593</v>
      </c>
      <c r="D78" t="s">
        <v>22</v>
      </c>
      <c r="E78" t="s">
        <v>26</v>
      </c>
      <c r="F78">
        <v>74</v>
      </c>
      <c r="G78">
        <v>4</v>
      </c>
      <c r="H78">
        <v>166950.85999999999</v>
      </c>
      <c r="I78">
        <v>4</v>
      </c>
      <c r="J78">
        <v>1</v>
      </c>
      <c r="K78">
        <v>1</v>
      </c>
      <c r="L78">
        <v>18020.810000000001</v>
      </c>
      <c r="M78">
        <v>0</v>
      </c>
      <c r="O78" t="str">
        <f t="shared" si="2"/>
        <v/>
      </c>
      <c r="P78">
        <f t="shared" si="3"/>
        <v>18020.810000000001</v>
      </c>
      <c r="R78">
        <f t="array" ref="R78">IFERROR(INDEX($L$2:$L$501,SMALL(IF($M$2:$M$501=1,ROW($M$2:$M$501)-1),ROW()-1)),"")</f>
        <v>73040.67</v>
      </c>
      <c r="S78" cm="1">
        <f t="array" ref="S78">IFERROR(INDEX($L$2:$L$501,SMALL(IF($M$2:$M$501=0,ROW($M$2:$M$501)-1),ROW()-1)),"")</f>
        <v>119718.19</v>
      </c>
      <c r="U78" cm="1">
        <f t="array" ref="U78">IFERROR(INDEX($C$2:$C$501,SMALL(IF($D$2:$D$501="France",ROW($D$2:$D$501)-1),ROW()-1)),"")</f>
        <v>753</v>
      </c>
      <c r="V78" cm="1">
        <f t="array" ref="V78">IFERROR(INDEX($C$2:$C$501,SMALL(IF($D$2:$D$501="Germany",ROW($D$2:$D$501)-1),ROW()-1)),"")</f>
        <v>639</v>
      </c>
      <c r="W78" cm="1">
        <f t="array" ref="W78">IFERROR(INDEX($C$2:$C$501,SMALL(IF($D$2:$D$501="Spain",ROW($D$2:$D$501)-1),ROW()-1)),"")</f>
        <v>452</v>
      </c>
    </row>
    <row r="79" spans="1:23" x14ac:dyDescent="0.35">
      <c r="A79">
        <v>78</v>
      </c>
      <c r="B79" t="s">
        <v>18</v>
      </c>
      <c r="C79">
        <v>600</v>
      </c>
      <c r="D79" t="s">
        <v>23</v>
      </c>
      <c r="E79" t="s">
        <v>26</v>
      </c>
      <c r="F79">
        <v>27</v>
      </c>
      <c r="G79">
        <v>7</v>
      </c>
      <c r="H79">
        <v>127193.14</v>
      </c>
      <c r="I79">
        <v>2</v>
      </c>
      <c r="J79">
        <v>0</v>
      </c>
      <c r="K79">
        <v>0</v>
      </c>
      <c r="L79">
        <v>11971.58</v>
      </c>
      <c r="M79">
        <v>0</v>
      </c>
      <c r="O79" t="str">
        <f t="shared" si="2"/>
        <v/>
      </c>
      <c r="P79">
        <f t="shared" si="3"/>
        <v>11971.58</v>
      </c>
      <c r="R79">
        <f t="array" ref="R79">IFERROR(INDEX($L$2:$L$501,SMALL(IF($M$2:$M$501=1,ROW($M$2:$M$501)-1),ROW()-1)),"")</f>
        <v>69509.759999999995</v>
      </c>
      <c r="S79" cm="1">
        <f t="array" ref="S79">IFERROR(INDEX($L$2:$L$501,SMALL(IF($M$2:$M$501=0,ROW($M$2:$M$501)-1),ROW()-1)),"")</f>
        <v>42983.99</v>
      </c>
      <c r="U79" cm="1">
        <f t="array" ref="U79">IFERROR(INDEX($C$2:$C$501,SMALL(IF($D$2:$D$501="France",ROW($D$2:$D$501)-1),ROW()-1)),"")</f>
        <v>468</v>
      </c>
      <c r="V79" cm="1">
        <f t="array" ref="V79">IFERROR(INDEX($C$2:$C$501,SMALL(IF($D$2:$D$501="Germany",ROW($D$2:$D$501)-1),ROW()-1)),"")</f>
        <v>656</v>
      </c>
      <c r="W79" cm="1">
        <f t="array" ref="W79">IFERROR(INDEX($C$2:$C$501,SMALL(IF($D$2:$D$501="Spain",ROW($D$2:$D$501)-1),ROW()-1)),"")</f>
        <v>455</v>
      </c>
    </row>
    <row r="80" spans="1:23" x14ac:dyDescent="0.35">
      <c r="A80">
        <v>79</v>
      </c>
      <c r="B80" t="s">
        <v>18</v>
      </c>
      <c r="C80">
        <v>742</v>
      </c>
      <c r="D80" t="s">
        <v>23</v>
      </c>
      <c r="E80" t="s">
        <v>26</v>
      </c>
      <c r="F80">
        <v>84</v>
      </c>
      <c r="G80">
        <v>0</v>
      </c>
      <c r="H80">
        <v>129782.98</v>
      </c>
      <c r="I80">
        <v>2</v>
      </c>
      <c r="J80">
        <v>1</v>
      </c>
      <c r="K80">
        <v>1</v>
      </c>
      <c r="L80">
        <v>53475.839999999997</v>
      </c>
      <c r="M80">
        <v>0</v>
      </c>
      <c r="O80" t="str">
        <f t="shared" si="2"/>
        <v/>
      </c>
      <c r="P80">
        <f t="shared" si="3"/>
        <v>53475.839999999997</v>
      </c>
      <c r="R80">
        <f t="array" ref="R80">IFERROR(INDEX($L$2:$L$501,SMALL(IF($M$2:$M$501=1,ROW($M$2:$M$501)-1),ROW()-1)),"")</f>
        <v>49445.48</v>
      </c>
      <c r="S80" cm="1">
        <f t="array" ref="S80">IFERROR(INDEX($L$2:$L$501,SMALL(IF($M$2:$M$501=0,ROW($M$2:$M$501)-1),ROW()-1)),"")</f>
        <v>105598.56</v>
      </c>
      <c r="U80" cm="1">
        <f t="array" ref="U80">IFERROR(INDEX($C$2:$C$501,SMALL(IF($D$2:$D$501="France",ROW($D$2:$D$501)-1),ROW()-1)),"")</f>
        <v>478</v>
      </c>
      <c r="V80" cm="1">
        <f t="array" ref="V80">IFERROR(INDEX($C$2:$C$501,SMALL(IF($D$2:$D$501="Germany",ROW($D$2:$D$501)-1),ROW()-1)),"")</f>
        <v>560</v>
      </c>
      <c r="W80" cm="1">
        <f t="array" ref="W80">IFERROR(INDEX($C$2:$C$501,SMALL(IF($D$2:$D$501="Spain",ROW($D$2:$D$501)-1),ROW()-1)),"")</f>
        <v>362</v>
      </c>
    </row>
    <row r="81" spans="1:23" x14ac:dyDescent="0.35">
      <c r="A81">
        <v>80</v>
      </c>
      <c r="B81" t="s">
        <v>14</v>
      </c>
      <c r="C81">
        <v>604</v>
      </c>
      <c r="D81" t="s">
        <v>22</v>
      </c>
      <c r="E81" t="s">
        <v>25</v>
      </c>
      <c r="F81">
        <v>27</v>
      </c>
      <c r="G81">
        <v>7</v>
      </c>
      <c r="H81">
        <v>162041.47</v>
      </c>
      <c r="I81">
        <v>3</v>
      </c>
      <c r="J81">
        <v>1</v>
      </c>
      <c r="K81">
        <v>0</v>
      </c>
      <c r="L81">
        <v>109301.93</v>
      </c>
      <c r="M81">
        <v>1</v>
      </c>
      <c r="O81">
        <f t="shared" si="2"/>
        <v>109301.93</v>
      </c>
      <c r="P81" t="str">
        <f t="shared" si="3"/>
        <v/>
      </c>
      <c r="R81">
        <f t="array" ref="R81">IFERROR(INDEX($L$2:$L$501,SMALL(IF($M$2:$M$501=1,ROW($M$2:$M$501)-1),ROW()-1)),"")</f>
        <v>43662.79</v>
      </c>
      <c r="S81" cm="1">
        <f t="array" ref="S81">IFERROR(INDEX($L$2:$L$501,SMALL(IF($M$2:$M$501=0,ROW($M$2:$M$501)-1),ROW()-1)),"")</f>
        <v>21151.48</v>
      </c>
      <c r="U81" cm="1">
        <f t="array" ref="U81">IFERROR(INDEX($C$2:$C$501,SMALL(IF($D$2:$D$501="France",ROW($D$2:$D$501)-1),ROW()-1)),"")</f>
        <v>715</v>
      </c>
      <c r="V81" cm="1">
        <f t="array" ref="V81">IFERROR(INDEX($C$2:$C$501,SMALL(IF($D$2:$D$501="Germany",ROW($D$2:$D$501)-1),ROW()-1)),"")</f>
        <v>626</v>
      </c>
      <c r="W81" cm="1">
        <f t="array" ref="W81">IFERROR(INDEX($C$2:$C$501,SMALL(IF($D$2:$D$501="Spain",ROW($D$2:$D$501)-1),ROW()-1)),"")</f>
        <v>517</v>
      </c>
    </row>
    <row r="82" spans="1:23" x14ac:dyDescent="0.35">
      <c r="A82">
        <v>81</v>
      </c>
      <c r="B82" t="s">
        <v>18</v>
      </c>
      <c r="C82">
        <v>631</v>
      </c>
      <c r="D82" t="s">
        <v>24</v>
      </c>
      <c r="E82" t="s">
        <v>25</v>
      </c>
      <c r="F82">
        <v>54</v>
      </c>
      <c r="G82">
        <v>10</v>
      </c>
      <c r="H82">
        <v>68959.39</v>
      </c>
      <c r="I82">
        <v>3</v>
      </c>
      <c r="J82">
        <v>0</v>
      </c>
      <c r="K82">
        <v>0</v>
      </c>
      <c r="L82">
        <v>101131.11</v>
      </c>
      <c r="M82">
        <v>0</v>
      </c>
      <c r="O82" t="str">
        <f t="shared" si="2"/>
        <v/>
      </c>
      <c r="P82">
        <f t="shared" si="3"/>
        <v>101131.11</v>
      </c>
      <c r="R82">
        <f t="array" ref="R82">IFERROR(INDEX($L$2:$L$501,SMALL(IF($M$2:$M$501=1,ROW($M$2:$M$501)-1),ROW()-1)),"")</f>
        <v>113646.28</v>
      </c>
      <c r="S82" cm="1">
        <f t="array" ref="S82">IFERROR(INDEX($L$2:$L$501,SMALL(IF($M$2:$M$501=0,ROW($M$2:$M$501)-1),ROW()-1)),"")</f>
        <v>66914.649999999994</v>
      </c>
      <c r="U82" cm="1">
        <f t="array" ref="U82">IFERROR(INDEX($C$2:$C$501,SMALL(IF($D$2:$D$501="France",ROW($D$2:$D$501)-1),ROW()-1)),"")</f>
        <v>621</v>
      </c>
      <c r="V82" cm="1">
        <f t="array" ref="V82">IFERROR(INDEX($C$2:$C$501,SMALL(IF($D$2:$D$501="Germany",ROW($D$2:$D$501)-1),ROW()-1)),"")</f>
        <v>572</v>
      </c>
      <c r="W82" cm="1">
        <f t="array" ref="W82">IFERROR(INDEX($C$2:$C$501,SMALL(IF($D$2:$D$501="Spain",ROW($D$2:$D$501)-1),ROW()-1)),"")</f>
        <v>766</v>
      </c>
    </row>
    <row r="83" spans="1:23" x14ac:dyDescent="0.35">
      <c r="A83">
        <v>82</v>
      </c>
      <c r="B83" t="s">
        <v>18</v>
      </c>
      <c r="C83">
        <v>371</v>
      </c>
      <c r="D83" t="s">
        <v>22</v>
      </c>
      <c r="E83" t="s">
        <v>26</v>
      </c>
      <c r="F83">
        <v>46</v>
      </c>
      <c r="G83">
        <v>8</v>
      </c>
      <c r="H83">
        <v>55186.57</v>
      </c>
      <c r="I83">
        <v>2</v>
      </c>
      <c r="J83">
        <v>1</v>
      </c>
      <c r="K83">
        <v>0</v>
      </c>
      <c r="L83">
        <v>117137.04</v>
      </c>
      <c r="M83">
        <v>0</v>
      </c>
      <c r="O83" t="str">
        <f t="shared" si="2"/>
        <v/>
      </c>
      <c r="P83">
        <f t="shared" si="3"/>
        <v>117137.04</v>
      </c>
      <c r="R83">
        <f t="array" ref="R83">IFERROR(INDEX($L$2:$L$501,SMALL(IF($M$2:$M$501=1,ROW($M$2:$M$501)-1),ROW()-1)),"")</f>
        <v>75716.98</v>
      </c>
      <c r="S83" cm="1">
        <f t="array" ref="S83">IFERROR(INDEX($L$2:$L$501,SMALL(IF($M$2:$M$501=0,ROW($M$2:$M$501)-1),ROW()-1)),"")</f>
        <v>80375.98</v>
      </c>
      <c r="U83" cm="1">
        <f t="array" ref="U83">IFERROR(INDEX($C$2:$C$501,SMALL(IF($D$2:$D$501="France",ROW($D$2:$D$501)-1),ROW()-1)),"")</f>
        <v>468</v>
      </c>
      <c r="V83" cm="1">
        <f t="array" ref="V83">IFERROR(INDEX($C$2:$C$501,SMALL(IF($D$2:$D$501="Germany",ROW($D$2:$D$501)-1),ROW()-1)),"")</f>
        <v>502</v>
      </c>
      <c r="W83" cm="1">
        <f t="array" ref="W83">IFERROR(INDEX($C$2:$C$501,SMALL(IF($D$2:$D$501="Spain",ROW($D$2:$D$501)-1),ROW()-1)),"")</f>
        <v>449</v>
      </c>
    </row>
    <row r="84" spans="1:23" x14ac:dyDescent="0.35">
      <c r="A84">
        <v>83</v>
      </c>
      <c r="B84" t="s">
        <v>20</v>
      </c>
      <c r="C84">
        <v>779</v>
      </c>
      <c r="D84" t="s">
        <v>22</v>
      </c>
      <c r="E84" t="s">
        <v>25</v>
      </c>
      <c r="F84">
        <v>82</v>
      </c>
      <c r="G84">
        <v>9</v>
      </c>
      <c r="H84">
        <v>241939.64</v>
      </c>
      <c r="I84">
        <v>4</v>
      </c>
      <c r="J84">
        <v>1</v>
      </c>
      <c r="K84">
        <v>1</v>
      </c>
      <c r="L84">
        <v>132532.96</v>
      </c>
      <c r="M84">
        <v>1</v>
      </c>
      <c r="O84">
        <f t="shared" si="2"/>
        <v>132532.96</v>
      </c>
      <c r="P84" t="str">
        <f t="shared" si="3"/>
        <v/>
      </c>
      <c r="R84">
        <f t="array" ref="R84">IFERROR(INDEX($L$2:$L$501,SMALL(IF($M$2:$M$501=1,ROW($M$2:$M$501)-1),ROW()-1)),"")</f>
        <v>120812.2</v>
      </c>
      <c r="S84" cm="1">
        <f t="array" ref="S84">IFERROR(INDEX($L$2:$L$501,SMALL(IF($M$2:$M$501=0,ROW($M$2:$M$501)-1),ROW()-1)),"")</f>
        <v>86790.47</v>
      </c>
      <c r="U84" cm="1">
        <f t="array" ref="U84">IFERROR(INDEX($C$2:$C$501,SMALL(IF($D$2:$D$501="France",ROW($D$2:$D$501)-1),ROW()-1)),"")</f>
        <v>383</v>
      </c>
      <c r="V84" cm="1">
        <f t="array" ref="V84">IFERROR(INDEX($C$2:$C$501,SMALL(IF($D$2:$D$501="Germany",ROW($D$2:$D$501)-1),ROW()-1)),"")</f>
        <v>496</v>
      </c>
      <c r="W84" cm="1">
        <f t="array" ref="W84">IFERROR(INDEX($C$2:$C$501,SMALL(IF($D$2:$D$501="Spain",ROW($D$2:$D$501)-1),ROW()-1)),"")</f>
        <v>567</v>
      </c>
    </row>
    <row r="85" spans="1:23" x14ac:dyDescent="0.35">
      <c r="A85">
        <v>84</v>
      </c>
      <c r="B85" t="s">
        <v>18</v>
      </c>
      <c r="C85">
        <v>579</v>
      </c>
      <c r="D85" t="s">
        <v>23</v>
      </c>
      <c r="E85" t="s">
        <v>25</v>
      </c>
      <c r="F85">
        <v>31</v>
      </c>
      <c r="G85">
        <v>9</v>
      </c>
      <c r="H85">
        <v>34457.83</v>
      </c>
      <c r="I85">
        <v>3</v>
      </c>
      <c r="J85">
        <v>1</v>
      </c>
      <c r="K85">
        <v>1</v>
      </c>
      <c r="L85">
        <v>142833.29999999999</v>
      </c>
      <c r="M85">
        <v>1</v>
      </c>
      <c r="O85">
        <f t="shared" si="2"/>
        <v>142833.29999999999</v>
      </c>
      <c r="P85" t="str">
        <f t="shared" si="3"/>
        <v/>
      </c>
      <c r="R85">
        <f t="array" ref="R85">IFERROR(INDEX($L$2:$L$501,SMALL(IF($M$2:$M$501=1,ROW($M$2:$M$501)-1),ROW()-1)),"")</f>
        <v>28096.07</v>
      </c>
      <c r="S85" cm="1">
        <f t="array" ref="S85">IFERROR(INDEX($L$2:$L$501,SMALL(IF($M$2:$M$501=0,ROW($M$2:$M$501)-1),ROW()-1)),"")</f>
        <v>33137.160000000003</v>
      </c>
      <c r="U85" cm="1">
        <f t="array" ref="U85">IFERROR(INDEX($C$2:$C$501,SMALL(IF($D$2:$D$501="France",ROW($D$2:$D$501)-1),ROW()-1)),"")</f>
        <v>501</v>
      </c>
      <c r="V85" cm="1">
        <f t="array" ref="V85">IFERROR(INDEX($C$2:$C$501,SMALL(IF($D$2:$D$501="Germany",ROW($D$2:$D$501)-1),ROW()-1)),"")</f>
        <v>561</v>
      </c>
      <c r="W85" cm="1">
        <f t="array" ref="W85">IFERROR(INDEX($C$2:$C$501,SMALL(IF($D$2:$D$501="Spain",ROW($D$2:$D$501)-1),ROW()-1)),"")</f>
        <v>694</v>
      </c>
    </row>
    <row r="86" spans="1:23" x14ac:dyDescent="0.35">
      <c r="A86">
        <v>85</v>
      </c>
      <c r="B86" t="s">
        <v>14</v>
      </c>
      <c r="C86">
        <v>820</v>
      </c>
      <c r="D86" t="s">
        <v>23</v>
      </c>
      <c r="E86" t="s">
        <v>26</v>
      </c>
      <c r="F86">
        <v>20</v>
      </c>
      <c r="G86">
        <v>10</v>
      </c>
      <c r="H86">
        <v>20249.55</v>
      </c>
      <c r="I86">
        <v>3</v>
      </c>
      <c r="J86">
        <v>0</v>
      </c>
      <c r="K86">
        <v>0</v>
      </c>
      <c r="L86">
        <v>121737.08</v>
      </c>
      <c r="M86">
        <v>0</v>
      </c>
      <c r="O86" t="str">
        <f t="shared" si="2"/>
        <v/>
      </c>
      <c r="P86">
        <f t="shared" si="3"/>
        <v>121737.08</v>
      </c>
      <c r="R86">
        <f t="array" ref="R86">IFERROR(INDEX($L$2:$L$501,SMALL(IF($M$2:$M$501=1,ROW($M$2:$M$501)-1),ROW()-1)),"")</f>
        <v>36084.61</v>
      </c>
      <c r="S86" cm="1">
        <f t="array" ref="S86">IFERROR(INDEX($L$2:$L$501,SMALL(IF($M$2:$M$501=0,ROW($M$2:$M$501)-1),ROW()-1)),"")</f>
        <v>88266.73</v>
      </c>
      <c r="U86" cm="1">
        <f t="array" ref="U86">IFERROR(INDEX($C$2:$C$501,SMALL(IF($D$2:$D$501="France",ROW($D$2:$D$501)-1),ROW()-1)),"")</f>
        <v>746</v>
      </c>
      <c r="V86" cm="1">
        <f t="array" ref="V86">IFERROR(INDEX($C$2:$C$501,SMALL(IF($D$2:$D$501="Germany",ROW($D$2:$D$501)-1),ROW()-1)),"")</f>
        <v>545</v>
      </c>
      <c r="W86" cm="1">
        <f t="array" ref="W86">IFERROR(INDEX($C$2:$C$501,SMALL(IF($D$2:$D$501="Spain",ROW($D$2:$D$501)-1),ROW()-1)),"")</f>
        <v>506</v>
      </c>
    </row>
    <row r="87" spans="1:23" x14ac:dyDescent="0.35">
      <c r="A87">
        <v>86</v>
      </c>
      <c r="B87" t="s">
        <v>15</v>
      </c>
      <c r="C87">
        <v>750</v>
      </c>
      <c r="D87" t="s">
        <v>23</v>
      </c>
      <c r="E87" t="s">
        <v>26</v>
      </c>
      <c r="F87">
        <v>55</v>
      </c>
      <c r="G87">
        <v>5</v>
      </c>
      <c r="H87">
        <v>175912.59</v>
      </c>
      <c r="I87">
        <v>2</v>
      </c>
      <c r="J87">
        <v>1</v>
      </c>
      <c r="K87">
        <v>1</v>
      </c>
      <c r="L87">
        <v>15679.54</v>
      </c>
      <c r="M87">
        <v>0</v>
      </c>
      <c r="O87" t="str">
        <f t="shared" si="2"/>
        <v/>
      </c>
      <c r="P87">
        <f t="shared" si="3"/>
        <v>15679.54</v>
      </c>
      <c r="R87">
        <f t="array" ref="R87">IFERROR(INDEX($L$2:$L$501,SMALL(IF($M$2:$M$501=1,ROW($M$2:$M$501)-1),ROW()-1)),"")</f>
        <v>139690.22</v>
      </c>
      <c r="S87" cm="1">
        <f t="array" ref="S87">IFERROR(INDEX($L$2:$L$501,SMALL(IF($M$2:$M$501=0,ROW($M$2:$M$501)-1),ROW()-1)),"")</f>
        <v>126167.25</v>
      </c>
      <c r="U87" cm="1">
        <f t="array" ref="U87">IFERROR(INDEX($C$2:$C$501,SMALL(IF($D$2:$D$501="France",ROW($D$2:$D$501)-1),ROW()-1)),"")</f>
        <v>739</v>
      </c>
      <c r="V87" cm="1">
        <f t="array" ref="V87">IFERROR(INDEX($C$2:$C$501,SMALL(IF($D$2:$D$501="Germany",ROW($D$2:$D$501)-1),ROW()-1)),"")</f>
        <v>705</v>
      </c>
      <c r="W87" cm="1">
        <f t="array" ref="W87">IFERROR(INDEX($C$2:$C$501,SMALL(IF($D$2:$D$501="Spain",ROW($D$2:$D$501)-1),ROW()-1)),"")</f>
        <v>759</v>
      </c>
    </row>
    <row r="88" spans="1:23" x14ac:dyDescent="0.35">
      <c r="A88">
        <v>87</v>
      </c>
      <c r="B88" t="s">
        <v>12</v>
      </c>
      <c r="C88">
        <v>503</v>
      </c>
      <c r="D88" t="s">
        <v>23</v>
      </c>
      <c r="E88" t="s">
        <v>26</v>
      </c>
      <c r="F88">
        <v>89</v>
      </c>
      <c r="G88">
        <v>2</v>
      </c>
      <c r="H88">
        <v>161781.32999999999</v>
      </c>
      <c r="I88">
        <v>2</v>
      </c>
      <c r="J88">
        <v>0</v>
      </c>
      <c r="K88">
        <v>0</v>
      </c>
      <c r="L88">
        <v>145603.81</v>
      </c>
      <c r="M88">
        <v>1</v>
      </c>
      <c r="O88">
        <f t="shared" si="2"/>
        <v>145603.81</v>
      </c>
      <c r="P88" t="str">
        <f t="shared" si="3"/>
        <v/>
      </c>
      <c r="R88">
        <f t="array" ref="R88">IFERROR(INDEX($L$2:$L$501,SMALL(IF($M$2:$M$501=1,ROW($M$2:$M$501)-1),ROW()-1)),"")</f>
        <v>144202.79</v>
      </c>
      <c r="S88" cm="1">
        <f t="array" ref="S88">IFERROR(INDEX($L$2:$L$501,SMALL(IF($M$2:$M$501=0,ROW($M$2:$M$501)-1),ROW()-1)),"")</f>
        <v>77687.86</v>
      </c>
      <c r="U88" cm="1">
        <f t="array" ref="U88">IFERROR(INDEX($C$2:$C$501,SMALL(IF($D$2:$D$501="France",ROW($D$2:$D$501)-1),ROW()-1)),"")</f>
        <v>388</v>
      </c>
      <c r="V88" cm="1">
        <f t="array" ref="V88">IFERROR(INDEX($C$2:$C$501,SMALL(IF($D$2:$D$501="Germany",ROW($D$2:$D$501)-1),ROW()-1)),"")</f>
        <v>804</v>
      </c>
      <c r="W88" cm="1">
        <f t="array" ref="W88">IFERROR(INDEX($C$2:$C$501,SMALL(IF($D$2:$D$501="Spain",ROW($D$2:$D$501)-1),ROW()-1)),"")</f>
        <v>584</v>
      </c>
    </row>
    <row r="89" spans="1:23" x14ac:dyDescent="0.35">
      <c r="A89">
        <v>88</v>
      </c>
      <c r="B89" t="s">
        <v>12</v>
      </c>
      <c r="C89">
        <v>844</v>
      </c>
      <c r="D89" t="s">
        <v>22</v>
      </c>
      <c r="E89" t="s">
        <v>26</v>
      </c>
      <c r="F89">
        <v>21</v>
      </c>
      <c r="G89">
        <v>6</v>
      </c>
      <c r="H89">
        <v>92743.31</v>
      </c>
      <c r="I89">
        <v>4</v>
      </c>
      <c r="J89">
        <v>0</v>
      </c>
      <c r="K89">
        <v>0</v>
      </c>
      <c r="L89">
        <v>54061.89</v>
      </c>
      <c r="M89">
        <v>0</v>
      </c>
      <c r="O89" t="str">
        <f t="shared" si="2"/>
        <v/>
      </c>
      <c r="P89">
        <f t="shared" si="3"/>
        <v>54061.89</v>
      </c>
      <c r="R89">
        <f t="array" ref="R89">IFERROR(INDEX($L$2:$L$501,SMALL(IF($M$2:$M$501=1,ROW($M$2:$M$501)-1),ROW()-1)),"")</f>
        <v>57614.96</v>
      </c>
      <c r="S89" cm="1">
        <f t="array" ref="S89">IFERROR(INDEX($L$2:$L$501,SMALL(IF($M$2:$M$501=0,ROW($M$2:$M$501)-1),ROW()-1)),"")</f>
        <v>144755.60999999999</v>
      </c>
      <c r="U89" cm="1">
        <f t="array" ref="U89">IFERROR(INDEX($C$2:$C$501,SMALL(IF($D$2:$D$501="France",ROW($D$2:$D$501)-1),ROW()-1)),"")</f>
        <v>616</v>
      </c>
      <c r="V89" cm="1">
        <f t="array" ref="V89">IFERROR(INDEX($C$2:$C$501,SMALL(IF($D$2:$D$501="Germany",ROW($D$2:$D$501)-1),ROW()-1)),"")</f>
        <v>400</v>
      </c>
      <c r="W89" cm="1">
        <f t="array" ref="W89">IFERROR(INDEX($C$2:$C$501,SMALL(IF($D$2:$D$501="Spain",ROW($D$2:$D$501)-1),ROW()-1)),"")</f>
        <v>634</v>
      </c>
    </row>
    <row r="90" spans="1:23" x14ac:dyDescent="0.35">
      <c r="A90">
        <v>89</v>
      </c>
      <c r="B90" t="s">
        <v>13</v>
      </c>
      <c r="C90">
        <v>469</v>
      </c>
      <c r="D90" t="s">
        <v>24</v>
      </c>
      <c r="E90" t="s">
        <v>25</v>
      </c>
      <c r="F90">
        <v>68</v>
      </c>
      <c r="G90">
        <v>9</v>
      </c>
      <c r="H90">
        <v>19196.560000000001</v>
      </c>
      <c r="I90">
        <v>3</v>
      </c>
      <c r="J90">
        <v>1</v>
      </c>
      <c r="K90">
        <v>0</v>
      </c>
      <c r="L90">
        <v>133731.54999999999</v>
      </c>
      <c r="M90">
        <v>1</v>
      </c>
      <c r="O90">
        <f t="shared" si="2"/>
        <v>133731.54999999999</v>
      </c>
      <c r="P90" t="str">
        <f t="shared" si="3"/>
        <v/>
      </c>
      <c r="R90">
        <f t="array" ref="R90">IFERROR(INDEX($L$2:$L$501,SMALL(IF($M$2:$M$501=1,ROW($M$2:$M$501)-1),ROW()-1)),"")</f>
        <v>114104.65</v>
      </c>
      <c r="S90" cm="1">
        <f t="array" ref="S90">IFERROR(INDEX($L$2:$L$501,SMALL(IF($M$2:$M$501=0,ROW($M$2:$M$501)-1),ROW()-1)),"")</f>
        <v>140547.93</v>
      </c>
      <c r="U90" cm="1">
        <f t="array" ref="U90">IFERROR(INDEX($C$2:$C$501,SMALL(IF($D$2:$D$501="France",ROW($D$2:$D$501)-1),ROW()-1)),"")</f>
        <v>356</v>
      </c>
      <c r="V90" cm="1">
        <f t="array" ref="V90">IFERROR(INDEX($C$2:$C$501,SMALL(IF($D$2:$D$501="Germany",ROW($D$2:$D$501)-1),ROW()-1)),"")</f>
        <v>370</v>
      </c>
      <c r="W90" cm="1">
        <f t="array" ref="W90">IFERROR(INDEX($C$2:$C$501,SMALL(IF($D$2:$D$501="Spain",ROW($D$2:$D$501)-1),ROW()-1)),"")</f>
        <v>522</v>
      </c>
    </row>
    <row r="91" spans="1:23" x14ac:dyDescent="0.35">
      <c r="A91">
        <v>90</v>
      </c>
      <c r="B91" t="s">
        <v>21</v>
      </c>
      <c r="C91">
        <v>515</v>
      </c>
      <c r="D91" t="s">
        <v>24</v>
      </c>
      <c r="E91" t="s">
        <v>25</v>
      </c>
      <c r="F91">
        <v>79</v>
      </c>
      <c r="G91">
        <v>5</v>
      </c>
      <c r="H91">
        <v>69882.490000000005</v>
      </c>
      <c r="I91">
        <v>3</v>
      </c>
      <c r="J91">
        <v>1</v>
      </c>
      <c r="K91">
        <v>0</v>
      </c>
      <c r="L91">
        <v>28817.75</v>
      </c>
      <c r="M91">
        <v>1</v>
      </c>
      <c r="O91">
        <f t="shared" si="2"/>
        <v>28817.75</v>
      </c>
      <c r="P91" t="str">
        <f t="shared" si="3"/>
        <v/>
      </c>
      <c r="R91">
        <f t="array" ref="R91">IFERROR(INDEX($L$2:$L$501,SMALL(IF($M$2:$M$501=1,ROW($M$2:$M$501)-1),ROW()-1)),"")</f>
        <v>106102.67</v>
      </c>
      <c r="S91" cm="1">
        <f t="array" ref="S91">IFERROR(INDEX($L$2:$L$501,SMALL(IF($M$2:$M$501=0,ROW($M$2:$M$501)-1),ROW()-1)),"")</f>
        <v>116721.45</v>
      </c>
      <c r="U91" cm="1">
        <f t="array" ref="U91">IFERROR(INDEX($C$2:$C$501,SMALL(IF($D$2:$D$501="France",ROW($D$2:$D$501)-1),ROW()-1)),"")</f>
        <v>731</v>
      </c>
      <c r="V91" cm="1">
        <f t="array" ref="V91">IFERROR(INDEX($C$2:$C$501,SMALL(IF($D$2:$D$501="Germany",ROW($D$2:$D$501)-1),ROW()-1)),"")</f>
        <v>521</v>
      </c>
      <c r="W91" cm="1">
        <f t="array" ref="W91">IFERROR(INDEX($C$2:$C$501,SMALL(IF($D$2:$D$501="Spain",ROW($D$2:$D$501)-1),ROW()-1)),"")</f>
        <v>651</v>
      </c>
    </row>
    <row r="92" spans="1:23" x14ac:dyDescent="0.35">
      <c r="A92">
        <v>91</v>
      </c>
      <c r="B92" t="s">
        <v>12</v>
      </c>
      <c r="C92">
        <v>733</v>
      </c>
      <c r="D92" t="s">
        <v>24</v>
      </c>
      <c r="E92" t="s">
        <v>26</v>
      </c>
      <c r="F92">
        <v>46</v>
      </c>
      <c r="G92">
        <v>6</v>
      </c>
      <c r="H92">
        <v>15556.14</v>
      </c>
      <c r="I92">
        <v>2</v>
      </c>
      <c r="J92">
        <v>1</v>
      </c>
      <c r="K92">
        <v>1</v>
      </c>
      <c r="L92">
        <v>101797.2</v>
      </c>
      <c r="M92">
        <v>0</v>
      </c>
      <c r="O92" t="str">
        <f t="shared" si="2"/>
        <v/>
      </c>
      <c r="P92">
        <f t="shared" si="3"/>
        <v>101797.2</v>
      </c>
      <c r="R92">
        <f t="array" ref="R92">IFERROR(INDEX($L$2:$L$501,SMALL(IF($M$2:$M$501=1,ROW($M$2:$M$501)-1),ROW()-1)),"")</f>
        <v>114757.22</v>
      </c>
      <c r="S92" cm="1">
        <f t="array" ref="S92">IFERROR(INDEX($L$2:$L$501,SMALL(IF($M$2:$M$501=0,ROW($M$2:$M$501)-1),ROW()-1)),"")</f>
        <v>143728.42000000001</v>
      </c>
      <c r="U92" cm="1">
        <f t="array" ref="U92">IFERROR(INDEX($C$2:$C$501,SMALL(IF($D$2:$D$501="France",ROW($D$2:$D$501)-1),ROW()-1)),"")</f>
        <v>452</v>
      </c>
      <c r="V92" cm="1">
        <f t="array" ref="V92">IFERROR(INDEX($C$2:$C$501,SMALL(IF($D$2:$D$501="Germany",ROW($D$2:$D$501)-1),ROW()-1)),"")</f>
        <v>455</v>
      </c>
      <c r="W92" cm="1">
        <f t="array" ref="W92">IFERROR(INDEX($C$2:$C$501,SMALL(IF($D$2:$D$501="Spain",ROW($D$2:$D$501)-1),ROW()-1)),"")</f>
        <v>660</v>
      </c>
    </row>
    <row r="93" spans="1:23" x14ac:dyDescent="0.35">
      <c r="A93">
        <v>92</v>
      </c>
      <c r="B93" t="s">
        <v>16</v>
      </c>
      <c r="C93">
        <v>735</v>
      </c>
      <c r="D93" t="s">
        <v>24</v>
      </c>
      <c r="E93" t="s">
        <v>25</v>
      </c>
      <c r="F93">
        <v>53</v>
      </c>
      <c r="G93">
        <v>10</v>
      </c>
      <c r="H93">
        <v>247280.33</v>
      </c>
      <c r="I93">
        <v>3</v>
      </c>
      <c r="J93">
        <v>1</v>
      </c>
      <c r="K93">
        <v>0</v>
      </c>
      <c r="L93">
        <v>54977.06</v>
      </c>
      <c r="M93">
        <v>0</v>
      </c>
      <c r="O93" t="str">
        <f t="shared" si="2"/>
        <v/>
      </c>
      <c r="P93">
        <f t="shared" si="3"/>
        <v>54977.06</v>
      </c>
      <c r="R93">
        <f t="array" ref="R93">IFERROR(INDEX($L$2:$L$501,SMALL(IF($M$2:$M$501=1,ROW($M$2:$M$501)-1),ROW()-1)),"")</f>
        <v>138662.49</v>
      </c>
      <c r="S93" cm="1">
        <f t="array" ref="S93">IFERROR(INDEX($L$2:$L$501,SMALL(IF($M$2:$M$501=0,ROW($M$2:$M$501)-1),ROW()-1)),"")</f>
        <v>87508.69</v>
      </c>
      <c r="U93" cm="1">
        <f t="array" ref="U93">IFERROR(INDEX($C$2:$C$501,SMALL(IF($D$2:$D$501="France",ROW($D$2:$D$501)-1),ROW()-1)),"")</f>
        <v>732</v>
      </c>
      <c r="V93" cm="1">
        <f t="array" ref="V93">IFERROR(INDEX($C$2:$C$501,SMALL(IF($D$2:$D$501="Germany",ROW($D$2:$D$501)-1),ROW()-1)),"")</f>
        <v>544</v>
      </c>
      <c r="W93" cm="1">
        <f t="array" ref="W93">IFERROR(INDEX($C$2:$C$501,SMALL(IF($D$2:$D$501="Spain",ROW($D$2:$D$501)-1),ROW()-1)),"")</f>
        <v>350</v>
      </c>
    </row>
    <row r="94" spans="1:23" x14ac:dyDescent="0.35">
      <c r="A94">
        <v>93</v>
      </c>
      <c r="B94" t="s">
        <v>14</v>
      </c>
      <c r="C94">
        <v>739</v>
      </c>
      <c r="D94" t="s">
        <v>23</v>
      </c>
      <c r="E94" t="s">
        <v>25</v>
      </c>
      <c r="F94">
        <v>71</v>
      </c>
      <c r="G94">
        <v>5</v>
      </c>
      <c r="H94">
        <v>173851.84</v>
      </c>
      <c r="I94">
        <v>2</v>
      </c>
      <c r="J94">
        <v>1</v>
      </c>
      <c r="K94">
        <v>1</v>
      </c>
      <c r="L94">
        <v>121172.65</v>
      </c>
      <c r="M94">
        <v>1</v>
      </c>
      <c r="O94">
        <f t="shared" si="2"/>
        <v>121172.65</v>
      </c>
      <c r="P94" t="str">
        <f t="shared" si="3"/>
        <v/>
      </c>
      <c r="R94">
        <f t="array" ref="R94">IFERROR(INDEX($L$2:$L$501,SMALL(IF($M$2:$M$501=1,ROW($M$2:$M$501)-1),ROW()-1)),"")</f>
        <v>62160.12</v>
      </c>
      <c r="S94" cm="1">
        <f t="array" ref="S94">IFERROR(INDEX($L$2:$L$501,SMALL(IF($M$2:$M$501=0,ROW($M$2:$M$501)-1),ROW()-1)),"")</f>
        <v>14185.62</v>
      </c>
      <c r="U94" cm="1">
        <f t="array" ref="U94">IFERROR(INDEX($C$2:$C$501,SMALL(IF($D$2:$D$501="France",ROW($D$2:$D$501)-1),ROW()-1)),"")</f>
        <v>528</v>
      </c>
      <c r="V94" cm="1">
        <f t="array" ref="V94">IFERROR(INDEX($C$2:$C$501,SMALL(IF($D$2:$D$501="Germany",ROW($D$2:$D$501)-1),ROW()-1)),"")</f>
        <v>575</v>
      </c>
      <c r="W94" cm="1">
        <f t="array" ref="W94">IFERROR(INDEX($C$2:$C$501,SMALL(IF($D$2:$D$501="Spain",ROW($D$2:$D$501)-1),ROW()-1)),"")</f>
        <v>569</v>
      </c>
    </row>
    <row r="95" spans="1:23" x14ac:dyDescent="0.35">
      <c r="A95">
        <v>94</v>
      </c>
      <c r="B95" t="s">
        <v>13</v>
      </c>
      <c r="C95">
        <v>548</v>
      </c>
      <c r="D95" t="s">
        <v>22</v>
      </c>
      <c r="E95" t="s">
        <v>26</v>
      </c>
      <c r="F95">
        <v>44</v>
      </c>
      <c r="G95">
        <v>3</v>
      </c>
      <c r="H95">
        <v>107973.28</v>
      </c>
      <c r="I95">
        <v>1</v>
      </c>
      <c r="J95">
        <v>0</v>
      </c>
      <c r="K95">
        <v>0</v>
      </c>
      <c r="L95">
        <v>27995.72</v>
      </c>
      <c r="M95">
        <v>0</v>
      </c>
      <c r="O95" t="str">
        <f t="shared" si="2"/>
        <v/>
      </c>
      <c r="P95">
        <f t="shared" si="3"/>
        <v>27995.72</v>
      </c>
      <c r="R95">
        <f t="array" ref="R95">IFERROR(INDEX($L$2:$L$501,SMALL(IF($M$2:$M$501=1,ROW($M$2:$M$501)-1),ROW()-1)),"")</f>
        <v>27139.72</v>
      </c>
      <c r="S95" cm="1">
        <f t="array" ref="S95">IFERROR(INDEX($L$2:$L$501,SMALL(IF($M$2:$M$501=0,ROW($M$2:$M$501)-1),ROW()-1)),"")</f>
        <v>135564.73000000001</v>
      </c>
      <c r="U95" cm="1">
        <f t="array" ref="U95">IFERROR(INDEX($C$2:$C$501,SMALL(IF($D$2:$D$501="France",ROW($D$2:$D$501)-1),ROW()-1)),"")</f>
        <v>682</v>
      </c>
      <c r="V95" cm="1">
        <f t="array" ref="V95">IFERROR(INDEX($C$2:$C$501,SMALL(IF($D$2:$D$501="Germany",ROW($D$2:$D$501)-1),ROW()-1)),"")</f>
        <v>691</v>
      </c>
      <c r="W95" cm="1">
        <f t="array" ref="W95">IFERROR(INDEX($C$2:$C$501,SMALL(IF($D$2:$D$501="Spain",ROW($D$2:$D$501)-1),ROW()-1)),"")</f>
        <v>512</v>
      </c>
    </row>
    <row r="96" spans="1:23" x14ac:dyDescent="0.35">
      <c r="A96">
        <v>95</v>
      </c>
      <c r="B96" t="s">
        <v>12</v>
      </c>
      <c r="C96">
        <v>746</v>
      </c>
      <c r="D96" t="s">
        <v>23</v>
      </c>
      <c r="E96" t="s">
        <v>25</v>
      </c>
      <c r="F96">
        <v>60</v>
      </c>
      <c r="G96">
        <v>10</v>
      </c>
      <c r="H96">
        <v>229932.49</v>
      </c>
      <c r="I96">
        <v>2</v>
      </c>
      <c r="J96">
        <v>1</v>
      </c>
      <c r="K96">
        <v>0</v>
      </c>
      <c r="L96">
        <v>81112.42</v>
      </c>
      <c r="M96">
        <v>0</v>
      </c>
      <c r="O96" t="str">
        <f t="shared" si="2"/>
        <v/>
      </c>
      <c r="P96">
        <f t="shared" si="3"/>
        <v>81112.42</v>
      </c>
      <c r="R96">
        <f t="array" ref="R96">IFERROR(INDEX($L$2:$L$501,SMALL(IF($M$2:$M$501=1,ROW($M$2:$M$501)-1),ROW()-1)),"")</f>
        <v>141135.62</v>
      </c>
      <c r="S96" cm="1">
        <f t="array" ref="S96">IFERROR(INDEX($L$2:$L$501,SMALL(IF($M$2:$M$501=0,ROW($M$2:$M$501)-1),ROW()-1)),"")</f>
        <v>18606.009999999998</v>
      </c>
      <c r="U96" cm="1">
        <f t="array" ref="U96">IFERROR(INDEX($C$2:$C$501,SMALL(IF($D$2:$D$501="France",ROW($D$2:$D$501)-1),ROW()-1)),"")</f>
        <v>507</v>
      </c>
      <c r="V96" cm="1">
        <f t="array" ref="V96">IFERROR(INDEX($C$2:$C$501,SMALL(IF($D$2:$D$501="Germany",ROW($D$2:$D$501)-1),ROW()-1)),"")</f>
        <v>720</v>
      </c>
      <c r="W96" cm="1">
        <f t="array" ref="W96">IFERROR(INDEX($C$2:$C$501,SMALL(IF($D$2:$D$501="Spain",ROW($D$2:$D$501)-1),ROW()-1)),"")</f>
        <v>592</v>
      </c>
    </row>
    <row r="97" spans="1:23" x14ac:dyDescent="0.35">
      <c r="A97">
        <v>96</v>
      </c>
      <c r="B97" t="s">
        <v>13</v>
      </c>
      <c r="C97">
        <v>696</v>
      </c>
      <c r="D97" t="s">
        <v>23</v>
      </c>
      <c r="E97" t="s">
        <v>25</v>
      </c>
      <c r="F97">
        <v>64</v>
      </c>
      <c r="G97">
        <v>3</v>
      </c>
      <c r="H97">
        <v>141361.44</v>
      </c>
      <c r="I97">
        <v>2</v>
      </c>
      <c r="J97">
        <v>1</v>
      </c>
      <c r="K97">
        <v>1</v>
      </c>
      <c r="L97">
        <v>147488.24</v>
      </c>
      <c r="M97">
        <v>1</v>
      </c>
      <c r="O97">
        <f t="shared" si="2"/>
        <v>147488.24</v>
      </c>
      <c r="P97" t="str">
        <f t="shared" si="3"/>
        <v/>
      </c>
      <c r="R97">
        <f t="array" ref="R97">IFERROR(INDEX($L$2:$L$501,SMALL(IF($M$2:$M$501=1,ROW($M$2:$M$501)-1),ROW()-1)),"")</f>
        <v>33745.43</v>
      </c>
      <c r="S97" cm="1">
        <f t="array" ref="S97">IFERROR(INDEX($L$2:$L$501,SMALL(IF($M$2:$M$501=0,ROW($M$2:$M$501)-1),ROW()-1)),"")</f>
        <v>51011.37</v>
      </c>
      <c r="U97" cm="1">
        <f t="array" ref="U97">IFERROR(INDEX($C$2:$C$501,SMALL(IF($D$2:$D$501="France",ROW($D$2:$D$501)-1),ROW()-1)),"")</f>
        <v>465</v>
      </c>
      <c r="V97" cm="1">
        <f t="array" ref="V97">IFERROR(INDEX($C$2:$C$501,SMALL(IF($D$2:$D$501="Germany",ROW($D$2:$D$501)-1),ROW()-1)),"")</f>
        <v>739</v>
      </c>
      <c r="W97" cm="1">
        <f t="array" ref="W97">IFERROR(INDEX($C$2:$C$501,SMALL(IF($D$2:$D$501="Spain",ROW($D$2:$D$501)-1),ROW()-1)),"")</f>
        <v>708</v>
      </c>
    </row>
    <row r="98" spans="1:23" x14ac:dyDescent="0.35">
      <c r="A98">
        <v>97</v>
      </c>
      <c r="B98" t="s">
        <v>21</v>
      </c>
      <c r="C98">
        <v>424</v>
      </c>
      <c r="D98" t="s">
        <v>22</v>
      </c>
      <c r="E98" t="s">
        <v>26</v>
      </c>
      <c r="F98">
        <v>87</v>
      </c>
      <c r="G98">
        <v>10</v>
      </c>
      <c r="H98">
        <v>177818.74</v>
      </c>
      <c r="I98">
        <v>2</v>
      </c>
      <c r="J98">
        <v>0</v>
      </c>
      <c r="K98">
        <v>1</v>
      </c>
      <c r="L98">
        <v>111587.44</v>
      </c>
      <c r="M98">
        <v>1</v>
      </c>
      <c r="O98">
        <f t="shared" si="2"/>
        <v>111587.44</v>
      </c>
      <c r="P98" t="str">
        <f t="shared" si="3"/>
        <v/>
      </c>
      <c r="R98">
        <f t="array" ref="R98">IFERROR(INDEX($L$2:$L$501,SMALL(IF($M$2:$M$501=1,ROW($M$2:$M$501)-1),ROW()-1)),"")</f>
        <v>108093.18</v>
      </c>
      <c r="S98" cm="1">
        <f t="array" ref="S98">IFERROR(INDEX($L$2:$L$501,SMALL(IF($M$2:$M$501=0,ROW($M$2:$M$501)-1),ROW()-1)),"")</f>
        <v>106372.6</v>
      </c>
      <c r="U98" cm="1">
        <f t="array" ref="U98">IFERROR(INDEX($C$2:$C$501,SMALL(IF($D$2:$D$501="France",ROW($D$2:$D$501)-1),ROW()-1)),"")</f>
        <v>806</v>
      </c>
      <c r="V98" cm="1">
        <f t="array" ref="V98">IFERROR(INDEX($C$2:$C$501,SMALL(IF($D$2:$D$501="Germany",ROW($D$2:$D$501)-1),ROW()-1)),"")</f>
        <v>531</v>
      </c>
      <c r="W98" cm="1">
        <f t="array" ref="W98">IFERROR(INDEX($C$2:$C$501,SMALL(IF($D$2:$D$501="Spain",ROW($D$2:$D$501)-1),ROW()-1)),"")</f>
        <v>834</v>
      </c>
    </row>
    <row r="99" spans="1:23" x14ac:dyDescent="0.35">
      <c r="A99">
        <v>98</v>
      </c>
      <c r="B99" t="s">
        <v>17</v>
      </c>
      <c r="C99">
        <v>788</v>
      </c>
      <c r="D99" t="s">
        <v>22</v>
      </c>
      <c r="E99" t="s">
        <v>25</v>
      </c>
      <c r="F99">
        <v>46</v>
      </c>
      <c r="G99">
        <v>0</v>
      </c>
      <c r="H99">
        <v>126692.44</v>
      </c>
      <c r="I99">
        <v>1</v>
      </c>
      <c r="J99">
        <v>1</v>
      </c>
      <c r="K99">
        <v>1</v>
      </c>
      <c r="L99">
        <v>27793.35</v>
      </c>
      <c r="M99">
        <v>0</v>
      </c>
      <c r="O99" t="str">
        <f t="shared" si="2"/>
        <v/>
      </c>
      <c r="P99">
        <f t="shared" si="3"/>
        <v>27793.35</v>
      </c>
      <c r="R99">
        <f t="array" ref="R99">IFERROR(INDEX($L$2:$L$501,SMALL(IF($M$2:$M$501=1,ROW($M$2:$M$501)-1),ROW()-1)),"")</f>
        <v>130888.76</v>
      </c>
      <c r="S99" cm="1">
        <f t="array" ref="S99">IFERROR(INDEX($L$2:$L$501,SMALL(IF($M$2:$M$501=0,ROW($M$2:$M$501)-1),ROW()-1)),"")</f>
        <v>115636.53</v>
      </c>
      <c r="U99" cm="1">
        <f t="array" ref="U99">IFERROR(INDEX($C$2:$C$501,SMALL(IF($D$2:$D$501="France",ROW($D$2:$D$501)-1),ROW()-1)),"")</f>
        <v>649</v>
      </c>
      <c r="V99" cm="1">
        <f t="array" ref="V99">IFERROR(INDEX($C$2:$C$501,SMALL(IF($D$2:$D$501="Germany",ROW($D$2:$D$501)-1),ROW()-1)),"")</f>
        <v>543</v>
      </c>
      <c r="W99" cm="1">
        <f t="array" ref="W99">IFERROR(INDEX($C$2:$C$501,SMALL(IF($D$2:$D$501="Spain",ROW($D$2:$D$501)-1),ROW()-1)),"")</f>
        <v>490</v>
      </c>
    </row>
    <row r="100" spans="1:23" x14ac:dyDescent="0.35">
      <c r="A100">
        <v>99</v>
      </c>
      <c r="B100" t="s">
        <v>18</v>
      </c>
      <c r="C100">
        <v>428</v>
      </c>
      <c r="D100" t="s">
        <v>22</v>
      </c>
      <c r="E100" t="s">
        <v>25</v>
      </c>
      <c r="F100">
        <v>61</v>
      </c>
      <c r="G100">
        <v>3</v>
      </c>
      <c r="H100">
        <v>206619.49</v>
      </c>
      <c r="I100">
        <v>2</v>
      </c>
      <c r="J100">
        <v>0</v>
      </c>
      <c r="K100">
        <v>0</v>
      </c>
      <c r="L100">
        <v>102150.42</v>
      </c>
      <c r="M100">
        <v>0</v>
      </c>
      <c r="O100" t="str">
        <f t="shared" si="2"/>
        <v/>
      </c>
      <c r="P100">
        <f t="shared" si="3"/>
        <v>102150.42</v>
      </c>
      <c r="R100">
        <f t="array" ref="R100">IFERROR(INDEX($L$2:$L$501,SMALL(IF($M$2:$M$501=1,ROW($M$2:$M$501)-1),ROW()-1)),"")</f>
        <v>59452.54</v>
      </c>
      <c r="S100" cm="1">
        <f t="array" ref="S100">IFERROR(INDEX($L$2:$L$501,SMALL(IF($M$2:$M$501=0,ROW($M$2:$M$501)-1),ROW()-1)),"")</f>
        <v>122196.71</v>
      </c>
      <c r="U100" cm="1">
        <f t="array" ref="U100">IFERROR(INDEX($C$2:$C$501,SMALL(IF($D$2:$D$501="France",ROW($D$2:$D$501)-1),ROW()-1)),"")</f>
        <v>429</v>
      </c>
      <c r="V100" cm="1">
        <f t="array" ref="V100">IFERROR(INDEX($C$2:$C$501,SMALL(IF($D$2:$D$501="Germany",ROW($D$2:$D$501)-1),ROW()-1)),"")</f>
        <v>426</v>
      </c>
      <c r="W100" cm="1">
        <f t="array" ref="W100">IFERROR(INDEX($C$2:$C$501,SMALL(IF($D$2:$D$501="Spain",ROW($D$2:$D$501)-1),ROW()-1)),"")</f>
        <v>607</v>
      </c>
    </row>
    <row r="101" spans="1:23" x14ac:dyDescent="0.35">
      <c r="A101">
        <v>100</v>
      </c>
      <c r="B101" t="s">
        <v>17</v>
      </c>
      <c r="C101">
        <v>668</v>
      </c>
      <c r="D101" t="s">
        <v>23</v>
      </c>
      <c r="E101" t="s">
        <v>25</v>
      </c>
      <c r="F101">
        <v>80</v>
      </c>
      <c r="G101">
        <v>4</v>
      </c>
      <c r="H101">
        <v>245611.62</v>
      </c>
      <c r="I101">
        <v>2</v>
      </c>
      <c r="J101">
        <v>1</v>
      </c>
      <c r="K101">
        <v>0</v>
      </c>
      <c r="L101">
        <v>103995.53</v>
      </c>
      <c r="M101">
        <v>1</v>
      </c>
      <c r="O101">
        <f t="shared" si="2"/>
        <v>103995.53</v>
      </c>
      <c r="P101" t="str">
        <f t="shared" si="3"/>
        <v/>
      </c>
      <c r="R101">
        <f t="array" ref="R101">IFERROR(INDEX($L$2:$L$501,SMALL(IF($M$2:$M$501=1,ROW($M$2:$M$501)-1),ROW()-1)),"")</f>
        <v>72202.649999999994</v>
      </c>
      <c r="S101" cm="1">
        <f t="array" ref="S101">IFERROR(INDEX($L$2:$L$501,SMALL(IF($M$2:$M$501=0,ROW($M$2:$M$501)-1),ROW()-1)),"")</f>
        <v>69975.320000000007</v>
      </c>
      <c r="U101" cm="1">
        <f t="array" ref="U101">IFERROR(INDEX($C$2:$C$501,SMALL(IF($D$2:$D$501="France",ROW($D$2:$D$501)-1),ROW()-1)),"")</f>
        <v>470</v>
      </c>
      <c r="V101" cm="1">
        <f t="array" ref="V101">IFERROR(INDEX($C$2:$C$501,SMALL(IF($D$2:$D$501="Germany",ROW($D$2:$D$501)-1),ROW()-1)),"")</f>
        <v>363</v>
      </c>
      <c r="W101" cm="1">
        <f t="array" ref="W101">IFERROR(INDEX($C$2:$C$501,SMALL(IF($D$2:$D$501="Spain",ROW($D$2:$D$501)-1),ROW()-1)),"")</f>
        <v>612</v>
      </c>
    </row>
    <row r="102" spans="1:23" x14ac:dyDescent="0.35">
      <c r="A102">
        <v>101</v>
      </c>
      <c r="B102" t="s">
        <v>13</v>
      </c>
      <c r="C102">
        <v>422</v>
      </c>
      <c r="D102" t="s">
        <v>24</v>
      </c>
      <c r="E102" t="s">
        <v>26</v>
      </c>
      <c r="F102">
        <v>27</v>
      </c>
      <c r="G102">
        <v>1</v>
      </c>
      <c r="H102">
        <v>103031.97</v>
      </c>
      <c r="I102">
        <v>2</v>
      </c>
      <c r="J102">
        <v>0</v>
      </c>
      <c r="K102">
        <v>0</v>
      </c>
      <c r="L102">
        <v>125609.39</v>
      </c>
      <c r="M102">
        <v>1</v>
      </c>
      <c r="O102">
        <f t="shared" si="2"/>
        <v>125609.39</v>
      </c>
      <c r="P102" t="str">
        <f t="shared" si="3"/>
        <v/>
      </c>
      <c r="R102">
        <f t="array" ref="R102">IFERROR(INDEX($L$2:$L$501,SMALL(IF($M$2:$M$501=1,ROW($M$2:$M$501)-1),ROW()-1)),"")</f>
        <v>139671.38</v>
      </c>
      <c r="S102" cm="1">
        <f t="array" ref="S102">IFERROR(INDEX($L$2:$L$501,SMALL(IF($M$2:$M$501=0,ROW($M$2:$M$501)-1),ROW()-1)),"")</f>
        <v>93107.1</v>
      </c>
      <c r="U102" cm="1">
        <f t="array" ref="U102">IFERROR(INDEX($C$2:$C$501,SMALL(IF($D$2:$D$501="France",ROW($D$2:$D$501)-1),ROW()-1)),"")</f>
        <v>695</v>
      </c>
      <c r="V102" cm="1">
        <f t="array" ref="V102">IFERROR(INDEX($C$2:$C$501,SMALL(IF($D$2:$D$501="Germany",ROW($D$2:$D$501)-1),ROW()-1)),"")</f>
        <v>586</v>
      </c>
      <c r="W102" cm="1">
        <f t="array" ref="W102">IFERROR(INDEX($C$2:$C$501,SMALL(IF($D$2:$D$501="Spain",ROW($D$2:$D$501)-1),ROW()-1)),"")</f>
        <v>772</v>
      </c>
    </row>
    <row r="103" spans="1:23" x14ac:dyDescent="0.35">
      <c r="A103">
        <v>102</v>
      </c>
      <c r="B103" t="s">
        <v>14</v>
      </c>
      <c r="C103">
        <v>549</v>
      </c>
      <c r="D103" t="s">
        <v>23</v>
      </c>
      <c r="E103" t="s">
        <v>26</v>
      </c>
      <c r="F103">
        <v>56</v>
      </c>
      <c r="G103">
        <v>0</v>
      </c>
      <c r="H103">
        <v>36824.33</v>
      </c>
      <c r="I103">
        <v>1</v>
      </c>
      <c r="J103">
        <v>0</v>
      </c>
      <c r="K103">
        <v>1</v>
      </c>
      <c r="L103">
        <v>51542.45</v>
      </c>
      <c r="M103">
        <v>0</v>
      </c>
      <c r="O103" t="str">
        <f t="shared" si="2"/>
        <v/>
      </c>
      <c r="P103">
        <f t="shared" si="3"/>
        <v>51542.45</v>
      </c>
      <c r="R103">
        <f t="array" ref="R103">IFERROR(INDEX($L$2:$L$501,SMALL(IF($M$2:$M$501=1,ROW($M$2:$M$501)-1),ROW()-1)),"")</f>
        <v>40784.480000000003</v>
      </c>
      <c r="S103" cm="1">
        <f t="array" ref="S103">IFERROR(INDEX($L$2:$L$501,SMALL(IF($M$2:$M$501=0,ROW($M$2:$M$501)-1),ROW()-1)),"")</f>
        <v>146668.19</v>
      </c>
      <c r="U103" cm="1">
        <f t="array" ref="U103">IFERROR(INDEX($C$2:$C$501,SMALL(IF($D$2:$D$501="France",ROW($D$2:$D$501)-1),ROW()-1)),"")</f>
        <v>572</v>
      </c>
      <c r="V103" cm="1">
        <f t="array" ref="V103">IFERROR(INDEX($C$2:$C$501,SMALL(IF($D$2:$D$501="Germany",ROW($D$2:$D$501)-1),ROW()-1)),"")</f>
        <v>563</v>
      </c>
      <c r="W103" cm="1">
        <f t="array" ref="W103">IFERROR(INDEX($C$2:$C$501,SMALL(IF($D$2:$D$501="Spain",ROW($D$2:$D$501)-1),ROW()-1)),"")</f>
        <v>681</v>
      </c>
    </row>
    <row r="104" spans="1:23" x14ac:dyDescent="0.35">
      <c r="A104">
        <v>103</v>
      </c>
      <c r="B104" t="s">
        <v>17</v>
      </c>
      <c r="C104">
        <v>651</v>
      </c>
      <c r="D104" t="s">
        <v>23</v>
      </c>
      <c r="E104" t="s">
        <v>25</v>
      </c>
      <c r="F104">
        <v>49</v>
      </c>
      <c r="G104">
        <v>10</v>
      </c>
      <c r="H104">
        <v>100461.13</v>
      </c>
      <c r="I104">
        <v>1</v>
      </c>
      <c r="J104">
        <v>0</v>
      </c>
      <c r="K104">
        <v>0</v>
      </c>
      <c r="L104">
        <v>30554.85</v>
      </c>
      <c r="M104">
        <v>0</v>
      </c>
      <c r="O104" t="str">
        <f t="shared" si="2"/>
        <v/>
      </c>
      <c r="P104">
        <f t="shared" si="3"/>
        <v>30554.85</v>
      </c>
      <c r="R104">
        <f t="array" ref="R104">IFERROR(INDEX($L$2:$L$501,SMALL(IF($M$2:$M$501=1,ROW($M$2:$M$501)-1),ROW()-1)),"")</f>
        <v>95781.75</v>
      </c>
      <c r="S104" cm="1">
        <f t="array" ref="S104">IFERROR(INDEX($L$2:$L$501,SMALL(IF($M$2:$M$501=0,ROW($M$2:$M$501)-1),ROW()-1)),"")</f>
        <v>145868.74</v>
      </c>
      <c r="U104" cm="1">
        <f t="array" ref="U104">IFERROR(INDEX($C$2:$C$501,SMALL(IF($D$2:$D$501="France",ROW($D$2:$D$501)-1),ROW()-1)),"")</f>
        <v>442</v>
      </c>
      <c r="V104" cm="1">
        <f t="array" ref="V104">IFERROR(INDEX($C$2:$C$501,SMALL(IF($D$2:$D$501="Germany",ROW($D$2:$D$501)-1),ROW()-1)),"")</f>
        <v>356</v>
      </c>
      <c r="W104" cm="1">
        <f t="array" ref="W104">IFERROR(INDEX($C$2:$C$501,SMALL(IF($D$2:$D$501="Spain",ROW($D$2:$D$501)-1),ROW()-1)),"")</f>
        <v>720</v>
      </c>
    </row>
    <row r="105" spans="1:23" x14ac:dyDescent="0.35">
      <c r="A105">
        <v>104</v>
      </c>
      <c r="B105" t="s">
        <v>13</v>
      </c>
      <c r="C105">
        <v>483</v>
      </c>
      <c r="D105" t="s">
        <v>22</v>
      </c>
      <c r="E105" t="s">
        <v>26</v>
      </c>
      <c r="F105">
        <v>40</v>
      </c>
      <c r="G105">
        <v>9</v>
      </c>
      <c r="H105">
        <v>199427.98</v>
      </c>
      <c r="I105">
        <v>4</v>
      </c>
      <c r="J105">
        <v>1</v>
      </c>
      <c r="K105">
        <v>1</v>
      </c>
      <c r="L105">
        <v>128540.03</v>
      </c>
      <c r="M105">
        <v>1</v>
      </c>
      <c r="O105">
        <f t="shared" si="2"/>
        <v>128540.03</v>
      </c>
      <c r="P105" t="str">
        <f t="shared" si="3"/>
        <v/>
      </c>
      <c r="R105">
        <f t="array" ref="R105">IFERROR(INDEX($L$2:$L$501,SMALL(IF($M$2:$M$501=1,ROW($M$2:$M$501)-1),ROW()-1)),"")</f>
        <v>25837.27</v>
      </c>
      <c r="S105" cm="1">
        <f t="array" ref="S105">IFERROR(INDEX($L$2:$L$501,SMALL(IF($M$2:$M$501=0,ROW($M$2:$M$501)-1),ROW()-1)),"")</f>
        <v>82176.899999999994</v>
      </c>
      <c r="U105" cm="1">
        <f t="array" ref="U105">IFERROR(INDEX($C$2:$C$501,SMALL(IF($D$2:$D$501="France",ROW($D$2:$D$501)-1),ROW()-1)),"")</f>
        <v>455</v>
      </c>
      <c r="V105" cm="1">
        <f t="array" ref="V105">IFERROR(INDEX($C$2:$C$501,SMALL(IF($D$2:$D$501="Germany",ROW($D$2:$D$501)-1),ROW()-1)),"")</f>
        <v>450</v>
      </c>
      <c r="W105" cm="1">
        <f t="array" ref="W105">IFERROR(INDEX($C$2:$C$501,SMALL(IF($D$2:$D$501="Spain",ROW($D$2:$D$501)-1),ROW()-1)),"")</f>
        <v>657</v>
      </c>
    </row>
    <row r="106" spans="1:23" x14ac:dyDescent="0.35">
      <c r="A106">
        <v>105</v>
      </c>
      <c r="B106" t="s">
        <v>15</v>
      </c>
      <c r="C106">
        <v>397</v>
      </c>
      <c r="D106" t="s">
        <v>23</v>
      </c>
      <c r="E106" t="s">
        <v>25</v>
      </c>
      <c r="F106">
        <v>75</v>
      </c>
      <c r="G106">
        <v>9</v>
      </c>
      <c r="H106">
        <v>46.68</v>
      </c>
      <c r="I106">
        <v>3</v>
      </c>
      <c r="J106">
        <v>1</v>
      </c>
      <c r="K106">
        <v>0</v>
      </c>
      <c r="L106">
        <v>61080.02</v>
      </c>
      <c r="M106">
        <v>1</v>
      </c>
      <c r="O106">
        <f t="shared" si="2"/>
        <v>61080.02</v>
      </c>
      <c r="P106" t="str">
        <f t="shared" si="3"/>
        <v/>
      </c>
      <c r="R106">
        <f t="array" ref="R106">IFERROR(INDEX($L$2:$L$501,SMALL(IF($M$2:$M$501=1,ROW($M$2:$M$501)-1),ROW()-1)),"")</f>
        <v>16236.92</v>
      </c>
      <c r="S106" cm="1">
        <f t="array" ref="S106">IFERROR(INDEX($L$2:$L$501,SMALL(IF($M$2:$M$501=0,ROW($M$2:$M$501)-1),ROW()-1)),"")</f>
        <v>19713.43</v>
      </c>
      <c r="U106" cm="1">
        <f t="array" ref="U106">IFERROR(INDEX($C$2:$C$501,SMALL(IF($D$2:$D$501="France",ROW($D$2:$D$501)-1),ROW()-1)),"")</f>
        <v>398</v>
      </c>
      <c r="V106" cm="1">
        <f t="array" ref="V106">IFERROR(INDEX($C$2:$C$501,SMALL(IF($D$2:$D$501="Germany",ROW($D$2:$D$501)-1),ROW()-1)),"")</f>
        <v>390</v>
      </c>
      <c r="W106" cm="1">
        <f t="array" ref="W106">IFERROR(INDEX($C$2:$C$501,SMALL(IF($D$2:$D$501="Spain",ROW($D$2:$D$501)-1),ROW()-1)),"")</f>
        <v>608</v>
      </c>
    </row>
    <row r="107" spans="1:23" x14ac:dyDescent="0.35">
      <c r="A107">
        <v>106</v>
      </c>
      <c r="B107" t="s">
        <v>12</v>
      </c>
      <c r="C107">
        <v>537</v>
      </c>
      <c r="D107" t="s">
        <v>24</v>
      </c>
      <c r="E107" t="s">
        <v>26</v>
      </c>
      <c r="F107">
        <v>39</v>
      </c>
      <c r="G107">
        <v>3</v>
      </c>
      <c r="H107">
        <v>238648.7</v>
      </c>
      <c r="I107">
        <v>1</v>
      </c>
      <c r="J107">
        <v>1</v>
      </c>
      <c r="K107">
        <v>1</v>
      </c>
      <c r="L107">
        <v>71498.5</v>
      </c>
      <c r="M107">
        <v>1</v>
      </c>
      <c r="O107">
        <f t="shared" si="2"/>
        <v>71498.5</v>
      </c>
      <c r="P107" t="str">
        <f t="shared" si="3"/>
        <v/>
      </c>
      <c r="R107">
        <f t="array" ref="R107">IFERROR(INDEX($L$2:$L$501,SMALL(IF($M$2:$M$501=1,ROW($M$2:$M$501)-1),ROW()-1)),"")</f>
        <v>149768.04999999999</v>
      </c>
      <c r="S107" cm="1">
        <f t="array" ref="S107">IFERROR(INDEX($L$2:$L$501,SMALL(IF($M$2:$M$501=0,ROW($M$2:$M$501)-1),ROW()-1)),"")</f>
        <v>125091.68</v>
      </c>
      <c r="U107" cm="1">
        <f t="array" ref="U107">IFERROR(INDEX($C$2:$C$501,SMALL(IF($D$2:$D$501="France",ROW($D$2:$D$501)-1),ROW()-1)),"")</f>
        <v>508</v>
      </c>
      <c r="V107" cm="1">
        <f t="array" ref="V107">IFERROR(INDEX($C$2:$C$501,SMALL(IF($D$2:$D$501="Germany",ROW($D$2:$D$501)-1),ROW()-1)),"")</f>
        <v>409</v>
      </c>
      <c r="W107" cm="1">
        <f t="array" ref="W107">IFERROR(INDEX($C$2:$C$501,SMALL(IF($D$2:$D$501="Spain",ROW($D$2:$D$501)-1),ROW()-1)),"")</f>
        <v>359</v>
      </c>
    </row>
    <row r="108" spans="1:23" x14ac:dyDescent="0.35">
      <c r="A108">
        <v>107</v>
      </c>
      <c r="B108" t="s">
        <v>16</v>
      </c>
      <c r="C108">
        <v>520</v>
      </c>
      <c r="D108" t="s">
        <v>24</v>
      </c>
      <c r="E108" t="s">
        <v>25</v>
      </c>
      <c r="F108">
        <v>79</v>
      </c>
      <c r="G108">
        <v>9</v>
      </c>
      <c r="H108">
        <v>165628.62</v>
      </c>
      <c r="I108">
        <v>2</v>
      </c>
      <c r="J108">
        <v>0</v>
      </c>
      <c r="K108">
        <v>0</v>
      </c>
      <c r="L108">
        <v>144375.79999999999</v>
      </c>
      <c r="M108">
        <v>1</v>
      </c>
      <c r="O108">
        <f t="shared" si="2"/>
        <v>144375.79999999999</v>
      </c>
      <c r="P108" t="str">
        <f t="shared" si="3"/>
        <v/>
      </c>
      <c r="R108">
        <f t="array" ref="R108">IFERROR(INDEX($L$2:$L$501,SMALL(IF($M$2:$M$501=1,ROW($M$2:$M$501)-1),ROW()-1)),"")</f>
        <v>95777.53</v>
      </c>
      <c r="S108" cm="1">
        <f t="array" ref="S108">IFERROR(INDEX($L$2:$L$501,SMALL(IF($M$2:$M$501=0,ROW($M$2:$M$501)-1),ROW()-1)),"")</f>
        <v>72274.3</v>
      </c>
      <c r="U108" cm="1">
        <f t="array" ref="U108">IFERROR(INDEX($C$2:$C$501,SMALL(IF($D$2:$D$501="France",ROW($D$2:$D$501)-1),ROW()-1)),"")</f>
        <v>739</v>
      </c>
      <c r="V108" cm="1">
        <f t="array" ref="V108">IFERROR(INDEX($C$2:$C$501,SMALL(IF($D$2:$D$501="Germany",ROW($D$2:$D$501)-1),ROW()-1)),"")</f>
        <v>846</v>
      </c>
      <c r="W108" cm="1">
        <f t="array" ref="W108">IFERROR(INDEX($C$2:$C$501,SMALL(IF($D$2:$D$501="Spain",ROW($D$2:$D$501)-1),ROW()-1)),"")</f>
        <v>466</v>
      </c>
    </row>
    <row r="109" spans="1:23" x14ac:dyDescent="0.35">
      <c r="A109">
        <v>108</v>
      </c>
      <c r="B109" t="s">
        <v>13</v>
      </c>
      <c r="C109">
        <v>801</v>
      </c>
      <c r="D109" t="s">
        <v>23</v>
      </c>
      <c r="E109" t="s">
        <v>26</v>
      </c>
      <c r="F109">
        <v>59</v>
      </c>
      <c r="G109">
        <v>10</v>
      </c>
      <c r="H109">
        <v>77661.960000000006</v>
      </c>
      <c r="I109">
        <v>2</v>
      </c>
      <c r="J109">
        <v>0</v>
      </c>
      <c r="K109">
        <v>0</v>
      </c>
      <c r="L109">
        <v>74188.759999999995</v>
      </c>
      <c r="M109">
        <v>0</v>
      </c>
      <c r="O109" t="str">
        <f t="shared" si="2"/>
        <v/>
      </c>
      <c r="P109">
        <f t="shared" si="3"/>
        <v>74188.759999999995</v>
      </c>
      <c r="R109">
        <f t="array" ref="R109">IFERROR(INDEX($L$2:$L$501,SMALL(IF($M$2:$M$501=1,ROW($M$2:$M$501)-1),ROW()-1)),"")</f>
        <v>117590.06</v>
      </c>
      <c r="S109" cm="1">
        <f t="array" ref="S109">IFERROR(INDEX($L$2:$L$501,SMALL(IF($M$2:$M$501=0,ROW($M$2:$M$501)-1),ROW()-1)),"")</f>
        <v>99332.87</v>
      </c>
      <c r="U109" cm="1">
        <f t="array" ref="U109">IFERROR(INDEX($C$2:$C$501,SMALL(IF($D$2:$D$501="France",ROW($D$2:$D$501)-1),ROW()-1)),"")</f>
        <v>463</v>
      </c>
      <c r="V109" cm="1">
        <f t="array" ref="V109">IFERROR(INDEX($C$2:$C$501,SMALL(IF($D$2:$D$501="Germany",ROW($D$2:$D$501)-1),ROW()-1)),"")</f>
        <v>558</v>
      </c>
      <c r="W109" cm="1">
        <f t="array" ref="W109">IFERROR(INDEX($C$2:$C$501,SMALL(IF($D$2:$D$501="Spain",ROW($D$2:$D$501)-1),ROW()-1)),"")</f>
        <v>585</v>
      </c>
    </row>
    <row r="110" spans="1:23" x14ac:dyDescent="0.35">
      <c r="A110">
        <v>109</v>
      </c>
      <c r="B110" t="s">
        <v>17</v>
      </c>
      <c r="C110">
        <v>488</v>
      </c>
      <c r="D110" t="s">
        <v>22</v>
      </c>
      <c r="E110" t="s">
        <v>25</v>
      </c>
      <c r="F110">
        <v>59</v>
      </c>
      <c r="G110">
        <v>3</v>
      </c>
      <c r="H110">
        <v>122455.34</v>
      </c>
      <c r="I110">
        <v>4</v>
      </c>
      <c r="J110">
        <v>0</v>
      </c>
      <c r="K110">
        <v>1</v>
      </c>
      <c r="L110">
        <v>21425.94</v>
      </c>
      <c r="M110">
        <v>1</v>
      </c>
      <c r="O110">
        <f t="shared" si="2"/>
        <v>21425.94</v>
      </c>
      <c r="P110" t="str">
        <f t="shared" si="3"/>
        <v/>
      </c>
      <c r="R110">
        <f t="array" ref="R110">IFERROR(INDEX($L$2:$L$501,SMALL(IF($M$2:$M$501=1,ROW($M$2:$M$501)-1),ROW()-1)),"")</f>
        <v>10423.709999999999</v>
      </c>
      <c r="S110" cm="1">
        <f t="array" ref="S110">IFERROR(INDEX($L$2:$L$501,SMALL(IF($M$2:$M$501=0,ROW($M$2:$M$501)-1),ROW()-1)),"")</f>
        <v>18737.27</v>
      </c>
      <c r="U110" cm="1">
        <f t="array" ref="U110">IFERROR(INDEX($C$2:$C$501,SMALL(IF($D$2:$D$501="France",ROW($D$2:$D$501)-1),ROW()-1)),"")</f>
        <v>445</v>
      </c>
      <c r="V110" cm="1">
        <f t="array" ref="V110">IFERROR(INDEX($C$2:$C$501,SMALL(IF($D$2:$D$501="Germany",ROW($D$2:$D$501)-1),ROW()-1)),"")</f>
        <v>443</v>
      </c>
      <c r="W110" cm="1">
        <f t="array" ref="W110">IFERROR(INDEX($C$2:$C$501,SMALL(IF($D$2:$D$501="Spain",ROW($D$2:$D$501)-1),ROW()-1)),"")</f>
        <v>412</v>
      </c>
    </row>
    <row r="111" spans="1:23" x14ac:dyDescent="0.35">
      <c r="A111">
        <v>110</v>
      </c>
      <c r="B111" t="s">
        <v>15</v>
      </c>
      <c r="C111">
        <v>592</v>
      </c>
      <c r="D111" t="s">
        <v>23</v>
      </c>
      <c r="E111" t="s">
        <v>25</v>
      </c>
      <c r="F111">
        <v>41</v>
      </c>
      <c r="G111">
        <v>4</v>
      </c>
      <c r="H111">
        <v>66018.19</v>
      </c>
      <c r="I111">
        <v>3</v>
      </c>
      <c r="J111">
        <v>0</v>
      </c>
      <c r="K111">
        <v>0</v>
      </c>
      <c r="L111">
        <v>102543.92</v>
      </c>
      <c r="M111">
        <v>0</v>
      </c>
      <c r="O111" t="str">
        <f t="shared" si="2"/>
        <v/>
      </c>
      <c r="P111">
        <f t="shared" si="3"/>
        <v>102543.92</v>
      </c>
      <c r="R111">
        <f t="array" ref="R111">IFERROR(INDEX($L$2:$L$501,SMALL(IF($M$2:$M$501=1,ROW($M$2:$M$501)-1),ROW()-1)),"")</f>
        <v>61220.89</v>
      </c>
      <c r="S111" cm="1">
        <f t="array" ref="S111">IFERROR(INDEX($L$2:$L$501,SMALL(IF($M$2:$M$501=0,ROW($M$2:$M$501)-1),ROW()-1)),"")</f>
        <v>43587.17</v>
      </c>
      <c r="U111" cm="1">
        <f t="array" ref="U111">IFERROR(INDEX($C$2:$C$501,SMALL(IF($D$2:$D$501="France",ROW($D$2:$D$501)-1),ROW()-1)),"")</f>
        <v>670</v>
      </c>
      <c r="V111" cm="1">
        <f t="array" ref="V111">IFERROR(INDEX($C$2:$C$501,SMALL(IF($D$2:$D$501="Germany",ROW($D$2:$D$501)-1),ROW()-1)),"")</f>
        <v>763</v>
      </c>
      <c r="W111" cm="1">
        <f t="array" ref="W111">IFERROR(INDEX($C$2:$C$501,SMALL(IF($D$2:$D$501="Spain",ROW($D$2:$D$501)-1),ROW()-1)),"")</f>
        <v>682</v>
      </c>
    </row>
    <row r="112" spans="1:23" x14ac:dyDescent="0.35">
      <c r="A112">
        <v>111</v>
      </c>
      <c r="B112" t="s">
        <v>17</v>
      </c>
      <c r="C112">
        <v>663</v>
      </c>
      <c r="D112" t="s">
        <v>24</v>
      </c>
      <c r="E112" t="s">
        <v>26</v>
      </c>
      <c r="F112">
        <v>70</v>
      </c>
      <c r="G112">
        <v>6</v>
      </c>
      <c r="H112">
        <v>108982.82</v>
      </c>
      <c r="I112">
        <v>4</v>
      </c>
      <c r="J112">
        <v>0</v>
      </c>
      <c r="K112">
        <v>0</v>
      </c>
      <c r="L112">
        <v>110349.05</v>
      </c>
      <c r="M112">
        <v>1</v>
      </c>
      <c r="O112">
        <f t="shared" si="2"/>
        <v>110349.05</v>
      </c>
      <c r="P112" t="str">
        <f t="shared" si="3"/>
        <v/>
      </c>
      <c r="R112">
        <f t="array" ref="R112">IFERROR(INDEX($L$2:$L$501,SMALL(IF($M$2:$M$501=1,ROW($M$2:$M$501)-1),ROW()-1)),"")</f>
        <v>96310.13</v>
      </c>
      <c r="S112" cm="1">
        <f t="array" ref="S112">IFERROR(INDEX($L$2:$L$501,SMALL(IF($M$2:$M$501=0,ROW($M$2:$M$501)-1),ROW()-1)),"")</f>
        <v>97832.3</v>
      </c>
      <c r="U112" cm="1">
        <f t="array" ref="U112">IFERROR(INDEX($C$2:$C$501,SMALL(IF($D$2:$D$501="France",ROW($D$2:$D$501)-1),ROW()-1)),"")</f>
        <v>696</v>
      </c>
      <c r="V112" cm="1">
        <f t="array" ref="V112">IFERROR(INDEX($C$2:$C$501,SMALL(IF($D$2:$D$501="Germany",ROW($D$2:$D$501)-1),ROW()-1)),"")</f>
        <v>753</v>
      </c>
      <c r="W112" cm="1">
        <f t="array" ref="W112">IFERROR(INDEX($C$2:$C$501,SMALL(IF($D$2:$D$501="Spain",ROW($D$2:$D$501)-1),ROW()-1)),"")</f>
        <v>397</v>
      </c>
    </row>
    <row r="113" spans="1:23" x14ac:dyDescent="0.35">
      <c r="A113">
        <v>112</v>
      </c>
      <c r="B113" t="s">
        <v>16</v>
      </c>
      <c r="C113">
        <v>825</v>
      </c>
      <c r="D113" t="s">
        <v>24</v>
      </c>
      <c r="E113" t="s">
        <v>25</v>
      </c>
      <c r="F113">
        <v>41</v>
      </c>
      <c r="G113">
        <v>5</v>
      </c>
      <c r="H113">
        <v>159554.78</v>
      </c>
      <c r="I113">
        <v>3</v>
      </c>
      <c r="J113">
        <v>0</v>
      </c>
      <c r="K113">
        <v>1</v>
      </c>
      <c r="L113">
        <v>75419.12</v>
      </c>
      <c r="M113">
        <v>0</v>
      </c>
      <c r="O113" t="str">
        <f t="shared" si="2"/>
        <v/>
      </c>
      <c r="P113">
        <f t="shared" si="3"/>
        <v>75419.12</v>
      </c>
      <c r="R113">
        <f t="array" ref="R113">IFERROR(INDEX($L$2:$L$501,SMALL(IF($M$2:$M$501=1,ROW($M$2:$M$501)-1),ROW()-1)),"")</f>
        <v>134198.82999999999</v>
      </c>
      <c r="S113" cm="1">
        <f t="array" ref="S113">IFERROR(INDEX($L$2:$L$501,SMALL(IF($M$2:$M$501=0,ROW($M$2:$M$501)-1),ROW()-1)),"")</f>
        <v>94496.24</v>
      </c>
      <c r="U113" cm="1">
        <f t="array" ref="U113">IFERROR(INDEX($C$2:$C$501,SMALL(IF($D$2:$D$501="France",ROW($D$2:$D$501)-1),ROW()-1)),"")</f>
        <v>837</v>
      </c>
      <c r="V113" cm="1">
        <f t="array" ref="V113">IFERROR(INDEX($C$2:$C$501,SMALL(IF($D$2:$D$501="Germany",ROW($D$2:$D$501)-1),ROW()-1)),"")</f>
        <v>433</v>
      </c>
      <c r="W113" cm="1">
        <f t="array" ref="W113">IFERROR(INDEX($C$2:$C$501,SMALL(IF($D$2:$D$501="Spain",ROW($D$2:$D$501)-1),ROW()-1)),"")</f>
        <v>499</v>
      </c>
    </row>
    <row r="114" spans="1:23" x14ac:dyDescent="0.35">
      <c r="A114">
        <v>113</v>
      </c>
      <c r="B114" t="s">
        <v>17</v>
      </c>
      <c r="C114">
        <v>695</v>
      </c>
      <c r="D114" t="s">
        <v>23</v>
      </c>
      <c r="E114" t="s">
        <v>25</v>
      </c>
      <c r="F114">
        <v>90</v>
      </c>
      <c r="G114">
        <v>7</v>
      </c>
      <c r="H114">
        <v>168519.32</v>
      </c>
      <c r="I114">
        <v>2</v>
      </c>
      <c r="J114">
        <v>1</v>
      </c>
      <c r="K114">
        <v>0</v>
      </c>
      <c r="L114">
        <v>108422.12</v>
      </c>
      <c r="M114">
        <v>0</v>
      </c>
      <c r="O114" t="str">
        <f t="shared" si="2"/>
        <v/>
      </c>
      <c r="P114">
        <f t="shared" si="3"/>
        <v>108422.12</v>
      </c>
      <c r="R114">
        <f t="array" ref="R114">IFERROR(INDEX($L$2:$L$501,SMALL(IF($M$2:$M$501=1,ROW($M$2:$M$501)-1),ROW()-1)),"")</f>
        <v>84036.97</v>
      </c>
      <c r="S114" cm="1">
        <f t="array" ref="S114">IFERROR(INDEX($L$2:$L$501,SMALL(IF($M$2:$M$501=0,ROW($M$2:$M$501)-1),ROW()-1)),"")</f>
        <v>111037.23</v>
      </c>
      <c r="U114" cm="1">
        <f t="array" ref="U114">IFERROR(INDEX($C$2:$C$501,SMALL(IF($D$2:$D$501="France",ROW($D$2:$D$501)-1),ROW()-1)),"")</f>
        <v>500</v>
      </c>
      <c r="V114" cm="1">
        <f t="array" ref="V114">IFERROR(INDEX($C$2:$C$501,SMALL(IF($D$2:$D$501="Germany",ROW($D$2:$D$501)-1),ROW()-1)),"")</f>
        <v>477</v>
      </c>
      <c r="W114" cm="1">
        <f t="array" ref="W114">IFERROR(INDEX($C$2:$C$501,SMALL(IF($D$2:$D$501="Spain",ROW($D$2:$D$501)-1),ROW()-1)),"")</f>
        <v>624</v>
      </c>
    </row>
    <row r="115" spans="1:23" x14ac:dyDescent="0.35">
      <c r="A115">
        <v>114</v>
      </c>
      <c r="B115" t="s">
        <v>14</v>
      </c>
      <c r="C115">
        <v>737</v>
      </c>
      <c r="D115" t="s">
        <v>24</v>
      </c>
      <c r="E115" t="s">
        <v>26</v>
      </c>
      <c r="F115">
        <v>59</v>
      </c>
      <c r="G115">
        <v>1</v>
      </c>
      <c r="H115">
        <v>80693.34</v>
      </c>
      <c r="I115">
        <v>4</v>
      </c>
      <c r="J115">
        <v>0</v>
      </c>
      <c r="K115">
        <v>1</v>
      </c>
      <c r="L115">
        <v>65451.93</v>
      </c>
      <c r="M115">
        <v>0</v>
      </c>
      <c r="O115" t="str">
        <f t="shared" si="2"/>
        <v/>
      </c>
      <c r="P115">
        <f t="shared" si="3"/>
        <v>65451.93</v>
      </c>
      <c r="R115">
        <f t="array" ref="R115">IFERROR(INDEX($L$2:$L$501,SMALL(IF($M$2:$M$501=1,ROW($M$2:$M$501)-1),ROW()-1)),"")</f>
        <v>141842.12</v>
      </c>
      <c r="S115" cm="1">
        <f t="array" ref="S115">IFERROR(INDEX($L$2:$L$501,SMALL(IF($M$2:$M$501=0,ROW($M$2:$M$501)-1),ROW()-1)),"")</f>
        <v>36108.42</v>
      </c>
      <c r="U115" cm="1">
        <f t="array" ref="U115">IFERROR(INDEX($C$2:$C$501,SMALL(IF($D$2:$D$501="France",ROW($D$2:$D$501)-1),ROW()-1)),"")</f>
        <v>834</v>
      </c>
      <c r="V115" cm="1">
        <f t="array" ref="V115">IFERROR(INDEX($C$2:$C$501,SMALL(IF($D$2:$D$501="Germany",ROW($D$2:$D$501)-1),ROW()-1)),"")</f>
        <v>611</v>
      </c>
      <c r="W115" cm="1">
        <f t="array" ref="W115">IFERROR(INDEX($C$2:$C$501,SMALL(IF($D$2:$D$501="Spain",ROW($D$2:$D$501)-1),ROW()-1)),"")</f>
        <v>760</v>
      </c>
    </row>
    <row r="116" spans="1:23" x14ac:dyDescent="0.35">
      <c r="A116">
        <v>115</v>
      </c>
      <c r="B116" t="s">
        <v>14</v>
      </c>
      <c r="C116">
        <v>475</v>
      </c>
      <c r="D116" t="s">
        <v>23</v>
      </c>
      <c r="E116" t="s">
        <v>26</v>
      </c>
      <c r="F116">
        <v>78</v>
      </c>
      <c r="G116">
        <v>5</v>
      </c>
      <c r="H116">
        <v>5741.56</v>
      </c>
      <c r="I116">
        <v>3</v>
      </c>
      <c r="J116">
        <v>0</v>
      </c>
      <c r="K116">
        <v>1</v>
      </c>
      <c r="L116">
        <v>136090.56</v>
      </c>
      <c r="M116">
        <v>0</v>
      </c>
      <c r="O116" t="str">
        <f t="shared" si="2"/>
        <v/>
      </c>
      <c r="P116">
        <f t="shared" si="3"/>
        <v>136090.56</v>
      </c>
      <c r="R116">
        <f t="array" ref="R116">IFERROR(INDEX($L$2:$L$501,SMALL(IF($M$2:$M$501=1,ROW($M$2:$M$501)-1),ROW()-1)),"")</f>
        <v>129494.46</v>
      </c>
      <c r="S116" cm="1">
        <f t="array" ref="S116">IFERROR(INDEX($L$2:$L$501,SMALL(IF($M$2:$M$501=0,ROW($M$2:$M$501)-1),ROW()-1)),"")</f>
        <v>33894.089999999997</v>
      </c>
      <c r="U116" cm="1">
        <f t="array" ref="U116">IFERROR(INDEX($C$2:$C$501,SMALL(IF($D$2:$D$501="France",ROW($D$2:$D$501)-1),ROW()-1)),"")</f>
        <v>698</v>
      </c>
      <c r="V116" cm="1">
        <f t="array" ref="V116">IFERROR(INDEX($C$2:$C$501,SMALL(IF($D$2:$D$501="Germany",ROW($D$2:$D$501)-1),ROW()-1)),"")</f>
        <v>810</v>
      </c>
      <c r="W116" cm="1">
        <f t="array" ref="W116">IFERROR(INDEX($C$2:$C$501,SMALL(IF($D$2:$D$501="Spain",ROW($D$2:$D$501)-1),ROW()-1)),"")</f>
        <v>493</v>
      </c>
    </row>
    <row r="117" spans="1:23" x14ac:dyDescent="0.35">
      <c r="A117">
        <v>116</v>
      </c>
      <c r="B117" t="s">
        <v>17</v>
      </c>
      <c r="C117">
        <v>556</v>
      </c>
      <c r="D117" t="s">
        <v>24</v>
      </c>
      <c r="E117" t="s">
        <v>25</v>
      </c>
      <c r="F117">
        <v>65</v>
      </c>
      <c r="G117">
        <v>7</v>
      </c>
      <c r="H117">
        <v>94298.58</v>
      </c>
      <c r="I117">
        <v>1</v>
      </c>
      <c r="J117">
        <v>1</v>
      </c>
      <c r="K117">
        <v>0</v>
      </c>
      <c r="L117">
        <v>117883.52</v>
      </c>
      <c r="M117">
        <v>1</v>
      </c>
      <c r="O117">
        <f t="shared" si="2"/>
        <v>117883.52</v>
      </c>
      <c r="P117" t="str">
        <f t="shared" si="3"/>
        <v/>
      </c>
      <c r="R117">
        <f t="array" ref="R117">IFERROR(INDEX($L$2:$L$501,SMALL(IF($M$2:$M$501=1,ROW($M$2:$M$501)-1),ROW()-1)),"")</f>
        <v>45375.97</v>
      </c>
      <c r="S117" cm="1">
        <f t="array" ref="S117">IFERROR(INDEX($L$2:$L$501,SMALL(IF($M$2:$M$501=0,ROW($M$2:$M$501)-1),ROW()-1)),"")</f>
        <v>64031.99</v>
      </c>
      <c r="U117" cm="1">
        <f t="array" ref="U117">IFERROR(INDEX($C$2:$C$501,SMALL(IF($D$2:$D$501="France",ROW($D$2:$D$501)-1),ROW()-1)),"")</f>
        <v>836</v>
      </c>
      <c r="V117" cm="1">
        <f t="array" ref="V117">IFERROR(INDEX($C$2:$C$501,SMALL(IF($D$2:$D$501="Germany",ROW($D$2:$D$501)-1),ROW()-1)),"")</f>
        <v>746</v>
      </c>
      <c r="W117" cm="1">
        <f t="array" ref="W117">IFERROR(INDEX($C$2:$C$501,SMALL(IF($D$2:$D$501="Spain",ROW($D$2:$D$501)-1),ROW()-1)),"")</f>
        <v>797</v>
      </c>
    </row>
    <row r="118" spans="1:23" x14ac:dyDescent="0.35">
      <c r="A118">
        <v>117</v>
      </c>
      <c r="B118" t="s">
        <v>14</v>
      </c>
      <c r="C118">
        <v>688</v>
      </c>
      <c r="D118" t="s">
        <v>22</v>
      </c>
      <c r="E118" t="s">
        <v>25</v>
      </c>
      <c r="F118">
        <v>33</v>
      </c>
      <c r="G118">
        <v>6</v>
      </c>
      <c r="H118">
        <v>93844.5</v>
      </c>
      <c r="I118">
        <v>4</v>
      </c>
      <c r="J118">
        <v>1</v>
      </c>
      <c r="K118">
        <v>0</v>
      </c>
      <c r="L118">
        <v>49103.38</v>
      </c>
      <c r="M118">
        <v>1</v>
      </c>
      <c r="O118">
        <f t="shared" si="2"/>
        <v>49103.38</v>
      </c>
      <c r="P118" t="str">
        <f t="shared" si="3"/>
        <v/>
      </c>
      <c r="R118">
        <f t="array" ref="R118">IFERROR(INDEX($L$2:$L$501,SMALL(IF($M$2:$M$501=1,ROW($M$2:$M$501)-1),ROW()-1)),"")</f>
        <v>38969.33</v>
      </c>
      <c r="S118" cm="1">
        <f t="array" ref="S118">IFERROR(INDEX($L$2:$L$501,SMALL(IF($M$2:$M$501=0,ROW($M$2:$M$501)-1),ROW()-1)),"")</f>
        <v>119070.68</v>
      </c>
      <c r="U118" cm="1">
        <f t="array" ref="U118">IFERROR(INDEX($C$2:$C$501,SMALL(IF($D$2:$D$501="France",ROW($D$2:$D$501)-1),ROW()-1)),"")</f>
        <v>530</v>
      </c>
      <c r="V118" cm="1">
        <f t="array" ref="V118">IFERROR(INDEX($C$2:$C$501,SMALL(IF($D$2:$D$501="Germany",ROW($D$2:$D$501)-1),ROW()-1)),"")</f>
        <v>350</v>
      </c>
      <c r="W118" cm="1">
        <f t="array" ref="W118">IFERROR(INDEX($C$2:$C$501,SMALL(IF($D$2:$D$501="Spain",ROW($D$2:$D$501)-1),ROW()-1)),"")</f>
        <v>835</v>
      </c>
    </row>
    <row r="119" spans="1:23" x14ac:dyDescent="0.35">
      <c r="A119">
        <v>118</v>
      </c>
      <c r="B119" t="s">
        <v>18</v>
      </c>
      <c r="C119">
        <v>547</v>
      </c>
      <c r="D119" t="s">
        <v>24</v>
      </c>
      <c r="E119" t="s">
        <v>25</v>
      </c>
      <c r="F119">
        <v>54</v>
      </c>
      <c r="G119">
        <v>6</v>
      </c>
      <c r="H119">
        <v>103006.1</v>
      </c>
      <c r="I119">
        <v>2</v>
      </c>
      <c r="J119">
        <v>1</v>
      </c>
      <c r="K119">
        <v>1</v>
      </c>
      <c r="L119">
        <v>76101.240000000005</v>
      </c>
      <c r="M119">
        <v>1</v>
      </c>
      <c r="O119">
        <f t="shared" si="2"/>
        <v>76101.240000000005</v>
      </c>
      <c r="P119" t="str">
        <f t="shared" si="3"/>
        <v/>
      </c>
      <c r="R119">
        <f t="array" ref="R119">IFERROR(INDEX($L$2:$L$501,SMALL(IF($M$2:$M$501=1,ROW($M$2:$M$501)-1),ROW()-1)),"")</f>
        <v>114472.4</v>
      </c>
      <c r="S119" cm="1">
        <f t="array" ref="S119">IFERROR(INDEX($L$2:$L$501,SMALL(IF($M$2:$M$501=0,ROW($M$2:$M$501)-1),ROW()-1)),"")</f>
        <v>116196.88</v>
      </c>
      <c r="U119" cm="1">
        <f t="array" ref="U119">IFERROR(INDEX($C$2:$C$501,SMALL(IF($D$2:$D$501="France",ROW($D$2:$D$501)-1),ROW()-1)),"")</f>
        <v>763</v>
      </c>
      <c r="V119" cm="1">
        <f t="array" ref="V119">IFERROR(INDEX($C$2:$C$501,SMALL(IF($D$2:$D$501="Germany",ROW($D$2:$D$501)-1),ROW()-1)),"")</f>
        <v>565</v>
      </c>
      <c r="W119" cm="1">
        <f t="array" ref="W119">IFERROR(INDEX($C$2:$C$501,SMALL(IF($D$2:$D$501="Spain",ROW($D$2:$D$501)-1),ROW()-1)),"")</f>
        <v>387</v>
      </c>
    </row>
    <row r="120" spans="1:23" x14ac:dyDescent="0.35">
      <c r="A120">
        <v>119</v>
      </c>
      <c r="B120" t="s">
        <v>21</v>
      </c>
      <c r="C120">
        <v>536</v>
      </c>
      <c r="D120" t="s">
        <v>23</v>
      </c>
      <c r="E120" t="s">
        <v>26</v>
      </c>
      <c r="F120">
        <v>83</v>
      </c>
      <c r="G120">
        <v>6</v>
      </c>
      <c r="H120">
        <v>241431.37</v>
      </c>
      <c r="I120">
        <v>4</v>
      </c>
      <c r="J120">
        <v>1</v>
      </c>
      <c r="K120">
        <v>1</v>
      </c>
      <c r="L120">
        <v>111107.96</v>
      </c>
      <c r="M120">
        <v>0</v>
      </c>
      <c r="O120" t="str">
        <f t="shared" si="2"/>
        <v/>
      </c>
      <c r="P120">
        <f t="shared" si="3"/>
        <v>111107.96</v>
      </c>
      <c r="R120">
        <f t="array" ref="R120">IFERROR(INDEX($L$2:$L$501,SMALL(IF($M$2:$M$501=1,ROW($M$2:$M$501)-1),ROW()-1)),"")</f>
        <v>143845.99</v>
      </c>
      <c r="S120" cm="1">
        <f t="array" ref="S120">IFERROR(INDEX($L$2:$L$501,SMALL(IF($M$2:$M$501=0,ROW($M$2:$M$501)-1),ROW()-1)),"")</f>
        <v>43527.09</v>
      </c>
      <c r="U120" cm="1">
        <f t="array" ref="U120">IFERROR(INDEX($C$2:$C$501,SMALL(IF($D$2:$D$501="France",ROW($D$2:$D$501)-1),ROW()-1)),"")</f>
        <v>557</v>
      </c>
      <c r="V120" cm="1">
        <f t="array" ref="V120">IFERROR(INDEX($C$2:$C$501,SMALL(IF($D$2:$D$501="Germany",ROW($D$2:$D$501)-1),ROW()-1)),"")</f>
        <v>680</v>
      </c>
      <c r="W120" cm="1">
        <f t="array" ref="W120">IFERROR(INDEX($C$2:$C$501,SMALL(IF($D$2:$D$501="Spain",ROW($D$2:$D$501)-1),ROW()-1)),"")</f>
        <v>702</v>
      </c>
    </row>
    <row r="121" spans="1:23" x14ac:dyDescent="0.35">
      <c r="A121">
        <v>120</v>
      </c>
      <c r="B121" t="s">
        <v>17</v>
      </c>
      <c r="C121">
        <v>738</v>
      </c>
      <c r="D121" t="s">
        <v>23</v>
      </c>
      <c r="E121" t="s">
        <v>26</v>
      </c>
      <c r="F121">
        <v>60</v>
      </c>
      <c r="G121">
        <v>1</v>
      </c>
      <c r="H121">
        <v>242524.24</v>
      </c>
      <c r="I121">
        <v>2</v>
      </c>
      <c r="J121">
        <v>1</v>
      </c>
      <c r="K121">
        <v>0</v>
      </c>
      <c r="L121">
        <v>84784.47</v>
      </c>
      <c r="M121">
        <v>0</v>
      </c>
      <c r="O121" t="str">
        <f t="shared" si="2"/>
        <v/>
      </c>
      <c r="P121">
        <f t="shared" si="3"/>
        <v>84784.47</v>
      </c>
      <c r="R121">
        <f t="array" ref="R121">IFERROR(INDEX($L$2:$L$501,SMALL(IF($M$2:$M$501=1,ROW($M$2:$M$501)-1),ROW()-1)),"")</f>
        <v>37615.839999999997</v>
      </c>
      <c r="S121" cm="1">
        <f t="array" ref="S121">IFERROR(INDEX($L$2:$L$501,SMALL(IF($M$2:$M$501=0,ROW($M$2:$M$501)-1),ROW()-1)),"")</f>
        <v>36850.699999999997</v>
      </c>
      <c r="U121" cm="1">
        <f t="array" ref="U121">IFERROR(INDEX($C$2:$C$501,SMALL(IF($D$2:$D$501="France",ROW($D$2:$D$501)-1),ROW()-1)),"")</f>
        <v>602</v>
      </c>
      <c r="V121" cm="1">
        <f t="array" ref="V121">IFERROR(INDEX($C$2:$C$501,SMALL(IF($D$2:$D$501="Germany",ROW($D$2:$D$501)-1),ROW()-1)),"")</f>
        <v>481</v>
      </c>
      <c r="W121" cm="1">
        <f t="array" ref="W121">IFERROR(INDEX($C$2:$C$501,SMALL(IF($D$2:$D$501="Spain",ROW($D$2:$D$501)-1),ROW()-1)),"")</f>
        <v>638</v>
      </c>
    </row>
    <row r="122" spans="1:23" x14ac:dyDescent="0.35">
      <c r="A122">
        <v>121</v>
      </c>
      <c r="B122" t="s">
        <v>16</v>
      </c>
      <c r="C122">
        <v>367</v>
      </c>
      <c r="D122" t="s">
        <v>22</v>
      </c>
      <c r="E122" t="s">
        <v>25</v>
      </c>
      <c r="F122">
        <v>18</v>
      </c>
      <c r="G122">
        <v>8</v>
      </c>
      <c r="H122">
        <v>37178.53</v>
      </c>
      <c r="I122">
        <v>1</v>
      </c>
      <c r="J122">
        <v>1</v>
      </c>
      <c r="K122">
        <v>0</v>
      </c>
      <c r="L122">
        <v>82791.570000000007</v>
      </c>
      <c r="M122">
        <v>1</v>
      </c>
      <c r="O122">
        <f t="shared" si="2"/>
        <v>82791.570000000007</v>
      </c>
      <c r="P122" t="str">
        <f t="shared" si="3"/>
        <v/>
      </c>
      <c r="R122">
        <f t="array" ref="R122">IFERROR(INDEX($L$2:$L$501,SMALL(IF($M$2:$M$501=1,ROW($M$2:$M$501)-1),ROW()-1)),"")</f>
        <v>83705.740000000005</v>
      </c>
      <c r="S122" cm="1">
        <f t="array" ref="S122">IFERROR(INDEX($L$2:$L$501,SMALL(IF($M$2:$M$501=0,ROW($M$2:$M$501)-1),ROW()-1)),"")</f>
        <v>42147.48</v>
      </c>
      <c r="U122" cm="1">
        <f t="array" ref="U122">IFERROR(INDEX($C$2:$C$501,SMALL(IF($D$2:$D$501="France",ROW($D$2:$D$501)-1),ROW()-1)),"")</f>
        <v>673</v>
      </c>
      <c r="V122" cm="1">
        <f t="array" ref="V122">IFERROR(INDEX($C$2:$C$501,SMALL(IF($D$2:$D$501="Germany",ROW($D$2:$D$501)-1),ROW()-1)),"")</f>
        <v>411</v>
      </c>
      <c r="W122" cm="1">
        <f t="array" ref="W122">IFERROR(INDEX($C$2:$C$501,SMALL(IF($D$2:$D$501="Spain",ROW($D$2:$D$501)-1),ROW()-1)),"")</f>
        <v>412</v>
      </c>
    </row>
    <row r="123" spans="1:23" x14ac:dyDescent="0.35">
      <c r="A123">
        <v>122</v>
      </c>
      <c r="B123" t="s">
        <v>21</v>
      </c>
      <c r="C123">
        <v>547</v>
      </c>
      <c r="D123" t="s">
        <v>24</v>
      </c>
      <c r="E123" t="s">
        <v>25</v>
      </c>
      <c r="F123">
        <v>24</v>
      </c>
      <c r="G123">
        <v>4</v>
      </c>
      <c r="H123">
        <v>228358.15</v>
      </c>
      <c r="I123">
        <v>2</v>
      </c>
      <c r="J123">
        <v>0</v>
      </c>
      <c r="K123">
        <v>0</v>
      </c>
      <c r="L123">
        <v>127955.4</v>
      </c>
      <c r="M123">
        <v>1</v>
      </c>
      <c r="O123">
        <f t="shared" si="2"/>
        <v>127955.4</v>
      </c>
      <c r="P123" t="str">
        <f t="shared" si="3"/>
        <v/>
      </c>
      <c r="R123">
        <f t="array" ref="R123">IFERROR(INDEX($L$2:$L$501,SMALL(IF($M$2:$M$501=1,ROW($M$2:$M$501)-1),ROW()-1)),"")</f>
        <v>101878.09</v>
      </c>
      <c r="S123" cm="1">
        <f t="array" ref="S123">IFERROR(INDEX($L$2:$L$501,SMALL(IF($M$2:$M$501=0,ROW($M$2:$M$501)-1),ROW()-1)),"")</f>
        <v>139671.97</v>
      </c>
      <c r="U123" cm="1">
        <f t="array" ref="U123">IFERROR(INDEX($C$2:$C$501,SMALL(IF($D$2:$D$501="France",ROW($D$2:$D$501)-1),ROW()-1)),"")</f>
        <v>434</v>
      </c>
      <c r="V123" cm="1">
        <f t="array" ref="V123">IFERROR(INDEX($C$2:$C$501,SMALL(IF($D$2:$D$501="Germany",ROW($D$2:$D$501)-1),ROW()-1)),"")</f>
        <v>579</v>
      </c>
      <c r="W123" cm="1">
        <f t="array" ref="W123">IFERROR(INDEX($C$2:$C$501,SMALL(IF($D$2:$D$501="Spain",ROW($D$2:$D$501)-1),ROW()-1)),"")</f>
        <v>744</v>
      </c>
    </row>
    <row r="124" spans="1:23" x14ac:dyDescent="0.35">
      <c r="A124">
        <v>123</v>
      </c>
      <c r="B124" t="s">
        <v>18</v>
      </c>
      <c r="C124">
        <v>797</v>
      </c>
      <c r="D124" t="s">
        <v>23</v>
      </c>
      <c r="E124" t="s">
        <v>25</v>
      </c>
      <c r="F124">
        <v>85</v>
      </c>
      <c r="G124">
        <v>2</v>
      </c>
      <c r="H124">
        <v>244614.91</v>
      </c>
      <c r="I124">
        <v>2</v>
      </c>
      <c r="J124">
        <v>1</v>
      </c>
      <c r="K124">
        <v>1</v>
      </c>
      <c r="L124">
        <v>101378.44</v>
      </c>
      <c r="M124">
        <v>0</v>
      </c>
      <c r="O124" t="str">
        <f t="shared" si="2"/>
        <v/>
      </c>
      <c r="P124">
        <f t="shared" si="3"/>
        <v>101378.44</v>
      </c>
      <c r="R124">
        <f t="array" ref="R124">IFERROR(INDEX($L$2:$L$501,SMALL(IF($M$2:$M$501=1,ROW($M$2:$M$501)-1),ROW()-1)),"")</f>
        <v>52021.75</v>
      </c>
      <c r="S124" cm="1">
        <f t="array" ref="S124">IFERROR(INDEX($L$2:$L$501,SMALL(IF($M$2:$M$501=0,ROW($M$2:$M$501)-1),ROW()-1)),"")</f>
        <v>122291.38</v>
      </c>
      <c r="U124" cm="1">
        <f t="array" ref="U124">IFERROR(INDEX($C$2:$C$501,SMALL(IF($D$2:$D$501="France",ROW($D$2:$D$501)-1),ROW()-1)),"")</f>
        <v>398</v>
      </c>
      <c r="V124" cm="1">
        <f t="array" ref="V124">IFERROR(INDEX($C$2:$C$501,SMALL(IF($D$2:$D$501="Germany",ROW($D$2:$D$501)-1),ROW()-1)),"")</f>
        <v>662</v>
      </c>
      <c r="W124" cm="1">
        <f t="array" ref="W124">IFERROR(INDEX($C$2:$C$501,SMALL(IF($D$2:$D$501="Spain",ROW($D$2:$D$501)-1),ROW()-1)),"")</f>
        <v>746</v>
      </c>
    </row>
    <row r="125" spans="1:23" x14ac:dyDescent="0.35">
      <c r="A125">
        <v>124</v>
      </c>
      <c r="B125" t="s">
        <v>19</v>
      </c>
      <c r="C125">
        <v>700</v>
      </c>
      <c r="D125" t="s">
        <v>24</v>
      </c>
      <c r="E125" t="s">
        <v>25</v>
      </c>
      <c r="F125">
        <v>49</v>
      </c>
      <c r="G125">
        <v>0</v>
      </c>
      <c r="H125">
        <v>64161.88</v>
      </c>
      <c r="I125">
        <v>1</v>
      </c>
      <c r="J125">
        <v>1</v>
      </c>
      <c r="K125">
        <v>1</v>
      </c>
      <c r="L125">
        <v>141665.95000000001</v>
      </c>
      <c r="M125">
        <v>1</v>
      </c>
      <c r="O125">
        <f t="shared" si="2"/>
        <v>141665.95000000001</v>
      </c>
      <c r="P125" t="str">
        <f t="shared" si="3"/>
        <v/>
      </c>
      <c r="R125">
        <f t="array" ref="R125">IFERROR(INDEX($L$2:$L$501,SMALL(IF($M$2:$M$501=1,ROW($M$2:$M$501)-1),ROW()-1)),"")</f>
        <v>58187.74</v>
      </c>
      <c r="S125" cm="1">
        <f t="array" ref="S125">IFERROR(INDEX($L$2:$L$501,SMALL(IF($M$2:$M$501=0,ROW($M$2:$M$501)-1),ROW()-1)),"")</f>
        <v>47605.64</v>
      </c>
      <c r="U125" cm="1">
        <f t="array" ref="U125">IFERROR(INDEX($C$2:$C$501,SMALL(IF($D$2:$D$501="France",ROW($D$2:$D$501)-1),ROW()-1)),"")</f>
        <v>540</v>
      </c>
      <c r="V125" cm="1">
        <f t="array" ref="V125">IFERROR(INDEX($C$2:$C$501,SMALL(IF($D$2:$D$501="Germany",ROW($D$2:$D$501)-1),ROW()-1)),"")</f>
        <v>495</v>
      </c>
      <c r="W125" cm="1">
        <f t="array" ref="W125">IFERROR(INDEX($C$2:$C$501,SMALL(IF($D$2:$D$501="Spain",ROW($D$2:$D$501)-1),ROW()-1)),"")</f>
        <v>739</v>
      </c>
    </row>
    <row r="126" spans="1:23" x14ac:dyDescent="0.35">
      <c r="A126">
        <v>125</v>
      </c>
      <c r="B126" t="s">
        <v>20</v>
      </c>
      <c r="C126">
        <v>502</v>
      </c>
      <c r="D126" t="s">
        <v>22</v>
      </c>
      <c r="E126" t="s">
        <v>26</v>
      </c>
      <c r="F126">
        <v>47</v>
      </c>
      <c r="G126">
        <v>2</v>
      </c>
      <c r="H126">
        <v>185255.98</v>
      </c>
      <c r="I126">
        <v>3</v>
      </c>
      <c r="J126">
        <v>0</v>
      </c>
      <c r="K126">
        <v>1</v>
      </c>
      <c r="L126">
        <v>48022.06</v>
      </c>
      <c r="M126">
        <v>1</v>
      </c>
      <c r="O126">
        <f t="shared" si="2"/>
        <v>48022.06</v>
      </c>
      <c r="P126" t="str">
        <f t="shared" si="3"/>
        <v/>
      </c>
      <c r="R126">
        <f t="array" ref="R126">IFERROR(INDEX($L$2:$L$501,SMALL(IF($M$2:$M$501=1,ROW($M$2:$M$501)-1),ROW()-1)),"")</f>
        <v>38576.97</v>
      </c>
      <c r="S126" cm="1">
        <f t="array" ref="S126">IFERROR(INDEX($L$2:$L$501,SMALL(IF($M$2:$M$501=0,ROW($M$2:$M$501)-1),ROW()-1)),"")</f>
        <v>107875.29</v>
      </c>
      <c r="U126" cm="1">
        <f t="array" ref="U126">IFERROR(INDEX($C$2:$C$501,SMALL(IF($D$2:$D$501="France",ROW($D$2:$D$501)-1),ROW()-1)),"")</f>
        <v>429</v>
      </c>
      <c r="V126" cm="1">
        <f t="array" ref="V126">IFERROR(INDEX($C$2:$C$501,SMALL(IF($D$2:$D$501="Germany",ROW($D$2:$D$501)-1),ROW()-1)),"")</f>
        <v>723</v>
      </c>
      <c r="W126" cm="1">
        <f t="array" ref="W126">IFERROR(INDEX($C$2:$C$501,SMALL(IF($D$2:$D$501="Spain",ROW($D$2:$D$501)-1),ROW()-1)),"")</f>
        <v>642</v>
      </c>
    </row>
    <row r="127" spans="1:23" x14ac:dyDescent="0.35">
      <c r="A127">
        <v>126</v>
      </c>
      <c r="B127" t="s">
        <v>17</v>
      </c>
      <c r="C127">
        <v>481</v>
      </c>
      <c r="D127" t="s">
        <v>23</v>
      </c>
      <c r="E127" t="s">
        <v>25</v>
      </c>
      <c r="F127">
        <v>34</v>
      </c>
      <c r="G127">
        <v>8</v>
      </c>
      <c r="H127">
        <v>43863.71</v>
      </c>
      <c r="I127">
        <v>2</v>
      </c>
      <c r="J127">
        <v>0</v>
      </c>
      <c r="K127">
        <v>0</v>
      </c>
      <c r="L127">
        <v>23962.59</v>
      </c>
      <c r="M127">
        <v>0</v>
      </c>
      <c r="O127" t="str">
        <f t="shared" si="2"/>
        <v/>
      </c>
      <c r="P127">
        <f t="shared" si="3"/>
        <v>23962.59</v>
      </c>
      <c r="R127">
        <f t="array" ref="R127">IFERROR(INDEX($L$2:$L$501,SMALL(IF($M$2:$M$501=1,ROW($M$2:$M$501)-1),ROW()-1)),"")</f>
        <v>47917.63</v>
      </c>
      <c r="S127" cm="1">
        <f t="array" ref="S127">IFERROR(INDEX($L$2:$L$501,SMALL(IF($M$2:$M$501=0,ROW($M$2:$M$501)-1),ROW()-1)),"")</f>
        <v>69503.59</v>
      </c>
      <c r="U127" cm="1">
        <f t="array" ref="U127">IFERROR(INDEX($C$2:$C$501,SMALL(IF($D$2:$D$501="France",ROW($D$2:$D$501)-1),ROW()-1)),"")</f>
        <v>580</v>
      </c>
      <c r="V127" cm="1">
        <f t="array" ref="V127">IFERROR(INDEX($C$2:$C$501,SMALL(IF($D$2:$D$501="Germany",ROW($D$2:$D$501)-1),ROW()-1)),"")</f>
        <v>791</v>
      </c>
      <c r="W127" cm="1">
        <f t="array" ref="W127">IFERROR(INDEX($C$2:$C$501,SMALL(IF($D$2:$D$501="Spain",ROW($D$2:$D$501)-1),ROW()-1)),"")</f>
        <v>504</v>
      </c>
    </row>
    <row r="128" spans="1:23" x14ac:dyDescent="0.35">
      <c r="A128">
        <v>127</v>
      </c>
      <c r="B128" t="s">
        <v>14</v>
      </c>
      <c r="C128">
        <v>675</v>
      </c>
      <c r="D128" t="s">
        <v>22</v>
      </c>
      <c r="E128" t="s">
        <v>25</v>
      </c>
      <c r="F128">
        <v>85</v>
      </c>
      <c r="G128">
        <v>3</v>
      </c>
      <c r="H128">
        <v>117991.41</v>
      </c>
      <c r="I128">
        <v>1</v>
      </c>
      <c r="J128">
        <v>1</v>
      </c>
      <c r="K128">
        <v>1</v>
      </c>
      <c r="L128">
        <v>36037.629999999997</v>
      </c>
      <c r="M128">
        <v>0</v>
      </c>
      <c r="O128" t="str">
        <f t="shared" si="2"/>
        <v/>
      </c>
      <c r="P128">
        <f t="shared" si="3"/>
        <v>36037.629999999997</v>
      </c>
      <c r="R128">
        <f t="array" ref="R128">IFERROR(INDEX($L$2:$L$501,SMALL(IF($M$2:$M$501=1,ROW($M$2:$M$501)-1),ROW()-1)),"")</f>
        <v>78723.149999999994</v>
      </c>
      <c r="S128" cm="1">
        <f t="array" ref="S128">IFERROR(INDEX($L$2:$L$501,SMALL(IF($M$2:$M$501=0,ROW($M$2:$M$501)-1),ROW()-1)),"")</f>
        <v>122764.08</v>
      </c>
      <c r="U128" cm="1">
        <f t="array" ref="U128">IFERROR(INDEX($C$2:$C$501,SMALL(IF($D$2:$D$501="France",ROW($D$2:$D$501)-1),ROW()-1)),"")</f>
        <v>767</v>
      </c>
      <c r="V128" cm="1">
        <f t="array" ref="V128">IFERROR(INDEX($C$2:$C$501,SMALL(IF($D$2:$D$501="Germany",ROW($D$2:$D$501)-1),ROW()-1)),"")</f>
        <v>738</v>
      </c>
      <c r="W128" cm="1">
        <f t="array" ref="W128">IFERROR(INDEX($C$2:$C$501,SMALL(IF($D$2:$D$501="Spain",ROW($D$2:$D$501)-1),ROW()-1)),"")</f>
        <v>591</v>
      </c>
    </row>
    <row r="129" spans="1:23" x14ac:dyDescent="0.35">
      <c r="A129">
        <v>128</v>
      </c>
      <c r="B129" t="s">
        <v>13</v>
      </c>
      <c r="C129">
        <v>774</v>
      </c>
      <c r="D129" t="s">
        <v>23</v>
      </c>
      <c r="E129" t="s">
        <v>26</v>
      </c>
      <c r="F129">
        <v>44</v>
      </c>
      <c r="G129">
        <v>7</v>
      </c>
      <c r="H129">
        <v>151801.15</v>
      </c>
      <c r="I129">
        <v>1</v>
      </c>
      <c r="J129">
        <v>0</v>
      </c>
      <c r="K129">
        <v>0</v>
      </c>
      <c r="L129">
        <v>36575.879999999997</v>
      </c>
      <c r="M129">
        <v>1</v>
      </c>
      <c r="O129">
        <f t="shared" si="2"/>
        <v>36575.879999999997</v>
      </c>
      <c r="P129" t="str">
        <f t="shared" si="3"/>
        <v/>
      </c>
      <c r="R129">
        <f t="array" ref="R129">IFERROR(INDEX($L$2:$L$501,SMALL(IF($M$2:$M$501=1,ROW($M$2:$M$501)-1),ROW()-1)),"")</f>
        <v>60995.519999999997</v>
      </c>
      <c r="S129" cm="1">
        <f t="array" ref="S129">IFERROR(INDEX($L$2:$L$501,SMALL(IF($M$2:$M$501=0,ROW($M$2:$M$501)-1),ROW()-1)),"")</f>
        <v>122538.35</v>
      </c>
      <c r="U129" cm="1">
        <f t="array" ref="U129">IFERROR(INDEX($C$2:$C$501,SMALL(IF($D$2:$D$501="France",ROW($D$2:$D$501)-1),ROW()-1)),"")</f>
        <v>750</v>
      </c>
      <c r="V129" cm="1">
        <f t="array" ref="V129">IFERROR(INDEX($C$2:$C$501,SMALL(IF($D$2:$D$501="Germany",ROW($D$2:$D$501)-1),ROW()-1)),"")</f>
        <v>668</v>
      </c>
      <c r="W129" cm="1">
        <f t="array" ref="W129">IFERROR(INDEX($C$2:$C$501,SMALL(IF($D$2:$D$501="Spain",ROW($D$2:$D$501)-1),ROW()-1)),"")</f>
        <v>433</v>
      </c>
    </row>
    <row r="130" spans="1:23" x14ac:dyDescent="0.35">
      <c r="A130">
        <v>129</v>
      </c>
      <c r="B130" t="s">
        <v>13</v>
      </c>
      <c r="C130">
        <v>514</v>
      </c>
      <c r="D130" t="s">
        <v>24</v>
      </c>
      <c r="E130" t="s">
        <v>26</v>
      </c>
      <c r="F130">
        <v>24</v>
      </c>
      <c r="G130">
        <v>2</v>
      </c>
      <c r="H130">
        <v>44897.120000000003</v>
      </c>
      <c r="I130">
        <v>3</v>
      </c>
      <c r="J130">
        <v>0</v>
      </c>
      <c r="K130">
        <v>0</v>
      </c>
      <c r="L130">
        <v>87587.83</v>
      </c>
      <c r="M130">
        <v>0</v>
      </c>
      <c r="O130" t="str">
        <f t="shared" si="2"/>
        <v/>
      </c>
      <c r="P130">
        <f t="shared" si="3"/>
        <v>87587.83</v>
      </c>
      <c r="R130">
        <f t="array" ref="R130">IFERROR(INDEX($L$2:$L$501,SMALL(IF($M$2:$M$501=1,ROW($M$2:$M$501)-1),ROW()-1)),"")</f>
        <v>108820.32</v>
      </c>
      <c r="S130" cm="1">
        <f t="array" ref="S130">IFERROR(INDEX($L$2:$L$501,SMALL(IF($M$2:$M$501=0,ROW($M$2:$M$501)-1),ROW()-1)),"")</f>
        <v>37047.949999999997</v>
      </c>
      <c r="U130" cm="1">
        <f t="array" ref="U130">IFERROR(INDEX($C$2:$C$501,SMALL(IF($D$2:$D$501="France",ROW($D$2:$D$501)-1),ROW()-1)),"")</f>
        <v>677</v>
      </c>
      <c r="V130" cm="1">
        <f t="array" ref="V130">IFERROR(INDEX($C$2:$C$501,SMALL(IF($D$2:$D$501="Germany",ROW($D$2:$D$501)-1),ROW()-1)),"")</f>
        <v>629</v>
      </c>
      <c r="W130" cm="1">
        <f t="array" ref="W130">IFERROR(INDEX($C$2:$C$501,SMALL(IF($D$2:$D$501="Spain",ROW($D$2:$D$501)-1),ROW()-1)),"")</f>
        <v>485</v>
      </c>
    </row>
    <row r="131" spans="1:23" x14ac:dyDescent="0.35">
      <c r="A131">
        <v>130</v>
      </c>
      <c r="B131" t="s">
        <v>19</v>
      </c>
      <c r="C131">
        <v>408</v>
      </c>
      <c r="D131" t="s">
        <v>23</v>
      </c>
      <c r="E131" t="s">
        <v>26</v>
      </c>
      <c r="F131">
        <v>29</v>
      </c>
      <c r="G131">
        <v>1</v>
      </c>
      <c r="H131">
        <v>136796.01999999999</v>
      </c>
      <c r="I131">
        <v>4</v>
      </c>
      <c r="J131">
        <v>1</v>
      </c>
      <c r="K131">
        <v>0</v>
      </c>
      <c r="L131">
        <v>81668.89</v>
      </c>
      <c r="M131">
        <v>0</v>
      </c>
      <c r="O131" t="str">
        <f t="shared" ref="O131:O194" si="4">IF($M131=1,$L131,"")</f>
        <v/>
      </c>
      <c r="P131">
        <f t="shared" ref="P131:P194" si="5">IF($M131=0,$L131,"")</f>
        <v>81668.89</v>
      </c>
      <c r="R131">
        <f t="array" ref="R131">IFERROR(INDEX($L$2:$L$501,SMALL(IF($M$2:$M$501=1,ROW($M$2:$M$501)-1),ROW()-1)),"")</f>
        <v>46897.41</v>
      </c>
      <c r="S131" cm="1">
        <f t="array" ref="S131">IFERROR(INDEX($L$2:$L$501,SMALL(IF($M$2:$M$501=0,ROW($M$2:$M$501)-1),ROW()-1)),"")</f>
        <v>91754.31</v>
      </c>
      <c r="U131" cm="1">
        <f t="array" ref="U131">IFERROR(INDEX($C$2:$C$501,SMALL(IF($D$2:$D$501="France",ROW($D$2:$D$501)-1),ROW()-1)),"")</f>
        <v>628</v>
      </c>
      <c r="V131" cm="1">
        <f t="array" ref="V131">IFERROR(INDEX($C$2:$C$501,SMALL(IF($D$2:$D$501="Germany",ROW($D$2:$D$501)-1),ROW()-1)),"")</f>
        <v>697</v>
      </c>
      <c r="W131" cm="1">
        <f t="array" ref="W131">IFERROR(INDEX($C$2:$C$501,SMALL(IF($D$2:$D$501="Spain",ROW($D$2:$D$501)-1),ROW()-1)),"")</f>
        <v>430</v>
      </c>
    </row>
    <row r="132" spans="1:23" x14ac:dyDescent="0.35">
      <c r="A132">
        <v>131</v>
      </c>
      <c r="B132" t="s">
        <v>13</v>
      </c>
      <c r="C132">
        <v>527</v>
      </c>
      <c r="D132" t="s">
        <v>22</v>
      </c>
      <c r="E132" t="s">
        <v>26</v>
      </c>
      <c r="F132">
        <v>73</v>
      </c>
      <c r="G132">
        <v>4</v>
      </c>
      <c r="H132">
        <v>184707.82</v>
      </c>
      <c r="I132">
        <v>4</v>
      </c>
      <c r="J132">
        <v>0</v>
      </c>
      <c r="K132">
        <v>0</v>
      </c>
      <c r="L132">
        <v>93162.76</v>
      </c>
      <c r="M132">
        <v>0</v>
      </c>
      <c r="O132" t="str">
        <f t="shared" si="4"/>
        <v/>
      </c>
      <c r="P132">
        <f t="shared" si="5"/>
        <v>93162.76</v>
      </c>
      <c r="R132">
        <f t="array" ref="R132">IFERROR(INDEX($L$2:$L$501,SMALL(IF($M$2:$M$501=1,ROW($M$2:$M$501)-1),ROW()-1)),"")</f>
        <v>34325.360000000001</v>
      </c>
      <c r="S132" cm="1">
        <f t="array" ref="S132">IFERROR(INDEX($L$2:$L$501,SMALL(IF($M$2:$M$501=0,ROW($M$2:$M$501)-1),ROW()-1)),"")</f>
        <v>124481.95</v>
      </c>
      <c r="U132" cm="1">
        <f t="array" ref="U132">IFERROR(INDEX($C$2:$C$501,SMALL(IF($D$2:$D$501="France",ROW($D$2:$D$501)-1),ROW()-1)),"")</f>
        <v>704</v>
      </c>
      <c r="V132" cm="1">
        <f t="array" ref="V132">IFERROR(INDEX($C$2:$C$501,SMALL(IF($D$2:$D$501="Germany",ROW($D$2:$D$501)-1),ROW()-1)),"")</f>
        <v>357</v>
      </c>
      <c r="W132" cm="1">
        <f t="array" ref="W132">IFERROR(INDEX($C$2:$C$501,SMALL(IF($D$2:$D$501="Spain",ROW($D$2:$D$501)-1),ROW()-1)),"")</f>
        <v>494</v>
      </c>
    </row>
    <row r="133" spans="1:23" x14ac:dyDescent="0.35">
      <c r="A133">
        <v>132</v>
      </c>
      <c r="B133" t="s">
        <v>19</v>
      </c>
      <c r="C133">
        <v>789</v>
      </c>
      <c r="D133" t="s">
        <v>23</v>
      </c>
      <c r="E133" t="s">
        <v>25</v>
      </c>
      <c r="F133">
        <v>61</v>
      </c>
      <c r="G133">
        <v>4</v>
      </c>
      <c r="H133">
        <v>166854.44</v>
      </c>
      <c r="I133">
        <v>4</v>
      </c>
      <c r="J133">
        <v>0</v>
      </c>
      <c r="K133">
        <v>1</v>
      </c>
      <c r="L133">
        <v>38147.910000000003</v>
      </c>
      <c r="M133">
        <v>1</v>
      </c>
      <c r="O133">
        <f t="shared" si="4"/>
        <v>38147.910000000003</v>
      </c>
      <c r="P133" t="str">
        <f t="shared" si="5"/>
        <v/>
      </c>
      <c r="R133">
        <f t="array" ref="R133">IFERROR(INDEX($L$2:$L$501,SMALL(IF($M$2:$M$501=1,ROW($M$2:$M$501)-1),ROW()-1)),"")</f>
        <v>71585.87</v>
      </c>
      <c r="S133" cm="1">
        <f t="array" ref="S133">IFERROR(INDEX($L$2:$L$501,SMALL(IF($M$2:$M$501=0,ROW($M$2:$M$501)-1),ROW()-1)),"")</f>
        <v>140183.29</v>
      </c>
      <c r="U133" cm="1">
        <f t="array" ref="U133">IFERROR(INDEX($C$2:$C$501,SMALL(IF($D$2:$D$501="France",ROW($D$2:$D$501)-1),ROW()-1)),"")</f>
        <v>505</v>
      </c>
      <c r="V133" cm="1">
        <f t="array" ref="V133">IFERROR(INDEX($C$2:$C$501,SMALL(IF($D$2:$D$501="Germany",ROW($D$2:$D$501)-1),ROW()-1)),"")</f>
        <v>508</v>
      </c>
      <c r="W133" cm="1">
        <f t="array" ref="W133">IFERROR(INDEX($C$2:$C$501,SMALL(IF($D$2:$D$501="Spain",ROW($D$2:$D$501)-1),ROW()-1)),"")</f>
        <v>718</v>
      </c>
    </row>
    <row r="134" spans="1:23" x14ac:dyDescent="0.35">
      <c r="A134">
        <v>133</v>
      </c>
      <c r="B134" t="s">
        <v>14</v>
      </c>
      <c r="C134">
        <v>502</v>
      </c>
      <c r="D134" t="s">
        <v>22</v>
      </c>
      <c r="E134" t="s">
        <v>25</v>
      </c>
      <c r="F134">
        <v>85</v>
      </c>
      <c r="G134">
        <v>10</v>
      </c>
      <c r="H134">
        <v>157686.62</v>
      </c>
      <c r="I134">
        <v>3</v>
      </c>
      <c r="J134">
        <v>1</v>
      </c>
      <c r="K134">
        <v>0</v>
      </c>
      <c r="L134">
        <v>43499.67</v>
      </c>
      <c r="M134">
        <v>0</v>
      </c>
      <c r="O134" t="str">
        <f t="shared" si="4"/>
        <v/>
      </c>
      <c r="P134">
        <f t="shared" si="5"/>
        <v>43499.67</v>
      </c>
      <c r="R134">
        <f t="array" ref="R134">IFERROR(INDEX($L$2:$L$501,SMALL(IF($M$2:$M$501=1,ROW($M$2:$M$501)-1),ROW()-1)),"")</f>
        <v>45223.9</v>
      </c>
      <c r="S134" cm="1">
        <f t="array" ref="S134">IFERROR(INDEX($L$2:$L$501,SMALL(IF($M$2:$M$501=0,ROW($M$2:$M$501)-1),ROW()-1)),"")</f>
        <v>105194.71</v>
      </c>
      <c r="U134" cm="1">
        <f t="array" ref="U134">IFERROR(INDEX($C$2:$C$501,SMALL(IF($D$2:$D$501="France",ROW($D$2:$D$501)-1),ROW()-1)),"")</f>
        <v>397</v>
      </c>
      <c r="V134" cm="1">
        <f t="array" ref="V134">IFERROR(INDEX($C$2:$C$501,SMALL(IF($D$2:$D$501="Germany",ROW($D$2:$D$501)-1),ROW()-1)),"")</f>
        <v>430</v>
      </c>
      <c r="W134" cm="1">
        <f t="array" ref="W134">IFERROR(INDEX($C$2:$C$501,SMALL(IF($D$2:$D$501="Spain",ROW($D$2:$D$501)-1),ROW()-1)),"")</f>
        <v>807</v>
      </c>
    </row>
    <row r="135" spans="1:23" x14ac:dyDescent="0.35">
      <c r="A135">
        <v>134</v>
      </c>
      <c r="B135" t="s">
        <v>14</v>
      </c>
      <c r="C135">
        <v>511</v>
      </c>
      <c r="D135" t="s">
        <v>23</v>
      </c>
      <c r="E135" t="s">
        <v>26</v>
      </c>
      <c r="F135">
        <v>38</v>
      </c>
      <c r="G135">
        <v>4</v>
      </c>
      <c r="H135">
        <v>30108.06</v>
      </c>
      <c r="I135">
        <v>2</v>
      </c>
      <c r="J135">
        <v>1</v>
      </c>
      <c r="K135">
        <v>1</v>
      </c>
      <c r="L135">
        <v>17973.88</v>
      </c>
      <c r="M135">
        <v>1</v>
      </c>
      <c r="O135">
        <f t="shared" si="4"/>
        <v>17973.88</v>
      </c>
      <c r="P135" t="str">
        <f t="shared" si="5"/>
        <v/>
      </c>
      <c r="R135">
        <f t="array" ref="R135">IFERROR(INDEX($L$2:$L$501,SMALL(IF($M$2:$M$501=1,ROW($M$2:$M$501)-1),ROW()-1)),"")</f>
        <v>33647.800000000003</v>
      </c>
      <c r="S135" cm="1">
        <f t="array" ref="S135">IFERROR(INDEX($L$2:$L$501,SMALL(IF($M$2:$M$501=0,ROW($M$2:$M$501)-1),ROW()-1)),"")</f>
        <v>35871.660000000003</v>
      </c>
      <c r="U135" cm="1">
        <f t="array" ref="U135">IFERROR(INDEX($C$2:$C$501,SMALL(IF($D$2:$D$501="France",ROW($D$2:$D$501)-1),ROW()-1)),"")</f>
        <v>361</v>
      </c>
      <c r="V135" cm="1">
        <f t="array" ref="V135">IFERROR(INDEX($C$2:$C$501,SMALL(IF($D$2:$D$501="Germany",ROW($D$2:$D$501)-1),ROW()-1)),"")</f>
        <v>845</v>
      </c>
      <c r="W135" cm="1">
        <f t="array" ref="W135">IFERROR(INDEX($C$2:$C$501,SMALL(IF($D$2:$D$501="Spain",ROW($D$2:$D$501)-1),ROW()-1)),"")</f>
        <v>466</v>
      </c>
    </row>
    <row r="136" spans="1:23" x14ac:dyDescent="0.35">
      <c r="A136">
        <v>135</v>
      </c>
      <c r="B136" t="s">
        <v>20</v>
      </c>
      <c r="C136">
        <v>752</v>
      </c>
      <c r="D136" t="s">
        <v>22</v>
      </c>
      <c r="E136" t="s">
        <v>26</v>
      </c>
      <c r="F136">
        <v>32</v>
      </c>
      <c r="G136">
        <v>2</v>
      </c>
      <c r="H136">
        <v>239097.38</v>
      </c>
      <c r="I136">
        <v>1</v>
      </c>
      <c r="J136">
        <v>1</v>
      </c>
      <c r="K136">
        <v>1</v>
      </c>
      <c r="L136">
        <v>13545.02</v>
      </c>
      <c r="M136">
        <v>1</v>
      </c>
      <c r="O136">
        <f t="shared" si="4"/>
        <v>13545.02</v>
      </c>
      <c r="P136" t="str">
        <f t="shared" si="5"/>
        <v/>
      </c>
      <c r="R136">
        <f t="array" ref="R136">IFERROR(INDEX($L$2:$L$501,SMALL(IF($M$2:$M$501=1,ROW($M$2:$M$501)-1),ROW()-1)),"")</f>
        <v>55748.58</v>
      </c>
      <c r="S136" cm="1">
        <f t="array" ref="S136">IFERROR(INDEX($L$2:$L$501,SMALL(IF($M$2:$M$501=0,ROW($M$2:$M$501)-1),ROW()-1)),"")</f>
        <v>70010.28</v>
      </c>
      <c r="U136" cm="1">
        <f t="array" ref="U136">IFERROR(INDEX($C$2:$C$501,SMALL(IF($D$2:$D$501="France",ROW($D$2:$D$501)-1),ROW()-1)),"")</f>
        <v>837</v>
      </c>
      <c r="V136" cm="1">
        <f t="array" ref="V136">IFERROR(INDEX($C$2:$C$501,SMALL(IF($D$2:$D$501="Germany",ROW($D$2:$D$501)-1),ROW()-1)),"")</f>
        <v>684</v>
      </c>
      <c r="W136" cm="1">
        <f t="array" ref="W136">IFERROR(INDEX($C$2:$C$501,SMALL(IF($D$2:$D$501="Spain",ROW($D$2:$D$501)-1),ROW()-1)),"")</f>
        <v>605</v>
      </c>
    </row>
    <row r="137" spans="1:23" x14ac:dyDescent="0.35">
      <c r="A137">
        <v>136</v>
      </c>
      <c r="B137" t="s">
        <v>20</v>
      </c>
      <c r="C137">
        <v>703</v>
      </c>
      <c r="D137" t="s">
        <v>24</v>
      </c>
      <c r="E137" t="s">
        <v>25</v>
      </c>
      <c r="F137">
        <v>32</v>
      </c>
      <c r="G137">
        <v>4</v>
      </c>
      <c r="H137">
        <v>35229.26</v>
      </c>
      <c r="I137">
        <v>2</v>
      </c>
      <c r="J137">
        <v>1</v>
      </c>
      <c r="K137">
        <v>0</v>
      </c>
      <c r="L137">
        <v>59763.13</v>
      </c>
      <c r="M137">
        <v>1</v>
      </c>
      <c r="O137">
        <f t="shared" si="4"/>
        <v>59763.13</v>
      </c>
      <c r="P137" t="str">
        <f t="shared" si="5"/>
        <v/>
      </c>
      <c r="R137">
        <f t="array" ref="R137">IFERROR(INDEX($L$2:$L$501,SMALL(IF($M$2:$M$501=1,ROW($M$2:$M$501)-1),ROW()-1)),"")</f>
        <v>14640.19</v>
      </c>
      <c r="S137" cm="1">
        <f t="array" ref="S137">IFERROR(INDEX($L$2:$L$501,SMALL(IF($M$2:$M$501=0,ROW($M$2:$M$501)-1),ROW()-1)),"")</f>
        <v>71072.84</v>
      </c>
      <c r="U137" cm="1">
        <f t="array" ref="U137">IFERROR(INDEX($C$2:$C$501,SMALL(IF($D$2:$D$501="France",ROW($D$2:$D$501)-1),ROW()-1)),"")</f>
        <v>636</v>
      </c>
      <c r="V137" cm="1">
        <f t="array" ref="V137">IFERROR(INDEX($C$2:$C$501,SMALL(IF($D$2:$D$501="Germany",ROW($D$2:$D$501)-1),ROW()-1)),"")</f>
        <v>513</v>
      </c>
      <c r="W137" cm="1">
        <f t="array" ref="W137">IFERROR(INDEX($C$2:$C$501,SMALL(IF($D$2:$D$501="Spain",ROW($D$2:$D$501)-1),ROW()-1)),"")</f>
        <v>668</v>
      </c>
    </row>
    <row r="138" spans="1:23" x14ac:dyDescent="0.35">
      <c r="A138">
        <v>137</v>
      </c>
      <c r="B138" t="s">
        <v>20</v>
      </c>
      <c r="C138">
        <v>812</v>
      </c>
      <c r="D138" t="s">
        <v>23</v>
      </c>
      <c r="E138" t="s">
        <v>25</v>
      </c>
      <c r="F138">
        <v>81</v>
      </c>
      <c r="G138">
        <v>8</v>
      </c>
      <c r="H138">
        <v>153059.5</v>
      </c>
      <c r="I138">
        <v>4</v>
      </c>
      <c r="J138">
        <v>0</v>
      </c>
      <c r="K138">
        <v>1</v>
      </c>
      <c r="L138">
        <v>114484.04</v>
      </c>
      <c r="M138">
        <v>1</v>
      </c>
      <c r="O138">
        <f t="shared" si="4"/>
        <v>114484.04</v>
      </c>
      <c r="P138" t="str">
        <f t="shared" si="5"/>
        <v/>
      </c>
      <c r="R138">
        <f t="array" ref="R138">IFERROR(INDEX($L$2:$L$501,SMALL(IF($M$2:$M$501=1,ROW($M$2:$M$501)-1),ROW()-1)),"")</f>
        <v>119204.73</v>
      </c>
      <c r="S138" cm="1">
        <f t="array" ref="S138">IFERROR(INDEX($L$2:$L$501,SMALL(IF($M$2:$M$501=0,ROW($M$2:$M$501)-1),ROW()-1)),"")</f>
        <v>11871.68</v>
      </c>
      <c r="U138" cm="1">
        <f t="array" ref="U138">IFERROR(INDEX($C$2:$C$501,SMALL(IF($D$2:$D$501="France",ROW($D$2:$D$501)-1),ROW()-1)),"")</f>
        <v>440</v>
      </c>
      <c r="V138" cm="1">
        <f t="array" ref="V138">IFERROR(INDEX($C$2:$C$501,SMALL(IF($D$2:$D$501="Germany",ROW($D$2:$D$501)-1),ROW()-1)),"")</f>
        <v>665</v>
      </c>
      <c r="W138" cm="1">
        <f t="array" ref="W138">IFERROR(INDEX($C$2:$C$501,SMALL(IF($D$2:$D$501="Spain",ROW($D$2:$D$501)-1),ROW()-1)),"")</f>
        <v>790</v>
      </c>
    </row>
    <row r="139" spans="1:23" x14ac:dyDescent="0.35">
      <c r="A139">
        <v>138</v>
      </c>
      <c r="B139" t="s">
        <v>17</v>
      </c>
      <c r="C139">
        <v>591</v>
      </c>
      <c r="D139" t="s">
        <v>24</v>
      </c>
      <c r="E139" t="s">
        <v>25</v>
      </c>
      <c r="F139">
        <v>61</v>
      </c>
      <c r="G139">
        <v>7</v>
      </c>
      <c r="H139">
        <v>32382.85</v>
      </c>
      <c r="I139">
        <v>4</v>
      </c>
      <c r="J139">
        <v>0</v>
      </c>
      <c r="K139">
        <v>1</v>
      </c>
      <c r="L139">
        <v>108015.6</v>
      </c>
      <c r="M139">
        <v>0</v>
      </c>
      <c r="O139" t="str">
        <f t="shared" si="4"/>
        <v/>
      </c>
      <c r="P139">
        <f t="shared" si="5"/>
        <v>108015.6</v>
      </c>
      <c r="R139">
        <f t="array" ref="R139">IFERROR(INDEX($L$2:$L$501,SMALL(IF($M$2:$M$501=1,ROW($M$2:$M$501)-1),ROW()-1)),"")</f>
        <v>106385.78</v>
      </c>
      <c r="S139" cm="1">
        <f t="array" ref="S139">IFERROR(INDEX($L$2:$L$501,SMALL(IF($M$2:$M$501=0,ROW($M$2:$M$501)-1),ROW()-1)),"")</f>
        <v>57363.12</v>
      </c>
      <c r="U139" cm="1">
        <f t="array" ref="U139">IFERROR(INDEX($C$2:$C$501,SMALL(IF($D$2:$D$501="France",ROW($D$2:$D$501)-1),ROW()-1)),"")</f>
        <v>640</v>
      </c>
      <c r="V139" cm="1">
        <f t="array" ref="V139">IFERROR(INDEX($C$2:$C$501,SMALL(IF($D$2:$D$501="Germany",ROW($D$2:$D$501)-1),ROW()-1)),"")</f>
        <v>418</v>
      </c>
      <c r="W139" cm="1">
        <f t="array" ref="W139">IFERROR(INDEX($C$2:$C$501,SMALL(IF($D$2:$D$501="Spain",ROW($D$2:$D$501)-1),ROW()-1)),"")</f>
        <v>359</v>
      </c>
    </row>
    <row r="140" spans="1:23" x14ac:dyDescent="0.35">
      <c r="A140">
        <v>139</v>
      </c>
      <c r="B140" t="s">
        <v>14</v>
      </c>
      <c r="C140">
        <v>485</v>
      </c>
      <c r="D140" t="s">
        <v>23</v>
      </c>
      <c r="E140" t="s">
        <v>26</v>
      </c>
      <c r="F140">
        <v>45</v>
      </c>
      <c r="G140">
        <v>10</v>
      </c>
      <c r="H140">
        <v>134925.82999999999</v>
      </c>
      <c r="I140">
        <v>1</v>
      </c>
      <c r="J140">
        <v>1</v>
      </c>
      <c r="K140">
        <v>0</v>
      </c>
      <c r="L140">
        <v>103143.51</v>
      </c>
      <c r="M140">
        <v>1</v>
      </c>
      <c r="O140">
        <f t="shared" si="4"/>
        <v>103143.51</v>
      </c>
      <c r="P140" t="str">
        <f t="shared" si="5"/>
        <v/>
      </c>
      <c r="R140">
        <f t="array" ref="R140">IFERROR(INDEX($L$2:$L$501,SMALL(IF($M$2:$M$501=1,ROW($M$2:$M$501)-1),ROW()-1)),"")</f>
        <v>116792.39</v>
      </c>
      <c r="S140" cm="1">
        <f t="array" ref="S140">IFERROR(INDEX($L$2:$L$501,SMALL(IF($M$2:$M$501=0,ROW($M$2:$M$501)-1),ROW()-1)),"")</f>
        <v>145899.54</v>
      </c>
      <c r="U140" cm="1">
        <f t="array" ref="U140">IFERROR(INDEX($C$2:$C$501,SMALL(IF($D$2:$D$501="France",ROW($D$2:$D$501)-1),ROW()-1)),"")</f>
        <v>404</v>
      </c>
      <c r="V140" cm="1">
        <f t="array" ref="V140">IFERROR(INDEX($C$2:$C$501,SMALL(IF($D$2:$D$501="Germany",ROW($D$2:$D$501)-1),ROW()-1)),"")</f>
        <v>451</v>
      </c>
      <c r="W140" cm="1">
        <f t="array" ref="W140">IFERROR(INDEX($C$2:$C$501,SMALL(IF($D$2:$D$501="Spain",ROW($D$2:$D$501)-1),ROW()-1)),"")</f>
        <v>842</v>
      </c>
    </row>
    <row r="141" spans="1:23" x14ac:dyDescent="0.35">
      <c r="A141">
        <v>140</v>
      </c>
      <c r="B141" t="s">
        <v>17</v>
      </c>
      <c r="C141">
        <v>787</v>
      </c>
      <c r="D141" t="s">
        <v>23</v>
      </c>
      <c r="E141" t="s">
        <v>26</v>
      </c>
      <c r="F141">
        <v>38</v>
      </c>
      <c r="G141">
        <v>9</v>
      </c>
      <c r="H141">
        <v>216858.41</v>
      </c>
      <c r="I141">
        <v>1</v>
      </c>
      <c r="J141">
        <v>0</v>
      </c>
      <c r="K141">
        <v>1</v>
      </c>
      <c r="L141">
        <v>13005.86</v>
      </c>
      <c r="M141">
        <v>0</v>
      </c>
      <c r="O141" t="str">
        <f t="shared" si="4"/>
        <v/>
      </c>
      <c r="P141">
        <f t="shared" si="5"/>
        <v>13005.86</v>
      </c>
      <c r="R141">
        <f t="array" ref="R141">IFERROR(INDEX($L$2:$L$501,SMALL(IF($M$2:$M$501=1,ROW($M$2:$M$501)-1),ROW()-1)),"")</f>
        <v>72099.13</v>
      </c>
      <c r="S141" cm="1">
        <f t="array" ref="S141">IFERROR(INDEX($L$2:$L$501,SMALL(IF($M$2:$M$501=0,ROW($M$2:$M$501)-1),ROW()-1)),"")</f>
        <v>66758.63</v>
      </c>
      <c r="U141" cm="1">
        <f t="array" ref="U141">IFERROR(INDEX($C$2:$C$501,SMALL(IF($D$2:$D$501="France",ROW($D$2:$D$501)-1),ROW()-1)),"")</f>
        <v>687</v>
      </c>
      <c r="V141" cm="1">
        <f t="array" ref="V141">IFERROR(INDEX($C$2:$C$501,SMALL(IF($D$2:$D$501="Germany",ROW($D$2:$D$501)-1),ROW()-1)),"")</f>
        <v>713</v>
      </c>
      <c r="W141" cm="1">
        <f t="array" ref="W141">IFERROR(INDEX($C$2:$C$501,SMALL(IF($D$2:$D$501="Spain",ROW($D$2:$D$501)-1),ROW()-1)),"")</f>
        <v>556</v>
      </c>
    </row>
    <row r="142" spans="1:23" x14ac:dyDescent="0.35">
      <c r="A142">
        <v>141</v>
      </c>
      <c r="B142" t="s">
        <v>13</v>
      </c>
      <c r="C142">
        <v>585</v>
      </c>
      <c r="D142" t="s">
        <v>24</v>
      </c>
      <c r="E142" t="s">
        <v>26</v>
      </c>
      <c r="F142">
        <v>41</v>
      </c>
      <c r="G142">
        <v>8</v>
      </c>
      <c r="H142">
        <v>157571.35999999999</v>
      </c>
      <c r="I142">
        <v>2</v>
      </c>
      <c r="J142">
        <v>0</v>
      </c>
      <c r="K142">
        <v>0</v>
      </c>
      <c r="L142">
        <v>142792.82999999999</v>
      </c>
      <c r="M142">
        <v>1</v>
      </c>
      <c r="O142">
        <f t="shared" si="4"/>
        <v>142792.82999999999</v>
      </c>
      <c r="P142" t="str">
        <f t="shared" si="5"/>
        <v/>
      </c>
      <c r="R142">
        <f t="array" ref="R142">IFERROR(INDEX($L$2:$L$501,SMALL(IF($M$2:$M$501=1,ROW($M$2:$M$501)-1),ROW()-1)),"")</f>
        <v>26002.71</v>
      </c>
      <c r="S142" cm="1">
        <f t="array" ref="S142">IFERROR(INDEX($L$2:$L$501,SMALL(IF($M$2:$M$501=0,ROW($M$2:$M$501)-1),ROW()-1)),"")</f>
        <v>112038.87</v>
      </c>
      <c r="U142" cm="1">
        <f t="array" ref="U142">IFERROR(INDEX($C$2:$C$501,SMALL(IF($D$2:$D$501="France",ROW($D$2:$D$501)-1),ROW()-1)),"")</f>
        <v>421</v>
      </c>
      <c r="V142" cm="1">
        <f t="array" ref="V142">IFERROR(INDEX($C$2:$C$501,SMALL(IF($D$2:$D$501="Germany",ROW($D$2:$D$501)-1),ROW()-1)),"")</f>
        <v>559</v>
      </c>
      <c r="W142" cm="1">
        <f t="array" ref="W142">IFERROR(INDEX($C$2:$C$501,SMALL(IF($D$2:$D$501="Spain",ROW($D$2:$D$501)-1),ROW()-1)),"")</f>
        <v>578</v>
      </c>
    </row>
    <row r="143" spans="1:23" x14ac:dyDescent="0.35">
      <c r="A143">
        <v>142</v>
      </c>
      <c r="B143" t="s">
        <v>20</v>
      </c>
      <c r="C143">
        <v>396</v>
      </c>
      <c r="D143" t="s">
        <v>22</v>
      </c>
      <c r="E143" t="s">
        <v>25</v>
      </c>
      <c r="F143">
        <v>52</v>
      </c>
      <c r="G143">
        <v>9</v>
      </c>
      <c r="H143">
        <v>227146.67</v>
      </c>
      <c r="I143">
        <v>2</v>
      </c>
      <c r="J143">
        <v>0</v>
      </c>
      <c r="K143">
        <v>0</v>
      </c>
      <c r="L143">
        <v>57655.65</v>
      </c>
      <c r="M143">
        <v>1</v>
      </c>
      <c r="O143">
        <f t="shared" si="4"/>
        <v>57655.65</v>
      </c>
      <c r="P143" t="str">
        <f t="shared" si="5"/>
        <v/>
      </c>
      <c r="R143">
        <f t="array" ref="R143">IFERROR(INDEX($L$2:$L$501,SMALL(IF($M$2:$M$501=1,ROW($M$2:$M$501)-1),ROW()-1)),"")</f>
        <v>48088.94</v>
      </c>
      <c r="S143" cm="1">
        <f t="array" ref="S143">IFERROR(INDEX($L$2:$L$501,SMALL(IF($M$2:$M$501=0,ROW($M$2:$M$501)-1),ROW()-1)),"")</f>
        <v>141751.96</v>
      </c>
      <c r="U143" cm="1">
        <f t="array" ref="U143">IFERROR(INDEX($C$2:$C$501,SMALL(IF($D$2:$D$501="France",ROW($D$2:$D$501)-1),ROW()-1)),"")</f>
        <v>715</v>
      </c>
      <c r="V143" cm="1">
        <f t="array" ref="V143">IFERROR(INDEX($C$2:$C$501,SMALL(IF($D$2:$D$501="Germany",ROW($D$2:$D$501)-1),ROW()-1)),"")</f>
        <v>730</v>
      </c>
      <c r="W143" cm="1">
        <f t="array" ref="W143">IFERROR(INDEX($C$2:$C$501,SMALL(IF($D$2:$D$501="Spain",ROW($D$2:$D$501)-1),ROW()-1)),"")</f>
        <v>716</v>
      </c>
    </row>
    <row r="144" spans="1:23" x14ac:dyDescent="0.35">
      <c r="A144">
        <v>143</v>
      </c>
      <c r="B144" t="s">
        <v>20</v>
      </c>
      <c r="C144">
        <v>846</v>
      </c>
      <c r="D144" t="s">
        <v>24</v>
      </c>
      <c r="E144" t="s">
        <v>25</v>
      </c>
      <c r="F144">
        <v>50</v>
      </c>
      <c r="G144">
        <v>5</v>
      </c>
      <c r="H144">
        <v>164636.07</v>
      </c>
      <c r="I144">
        <v>4</v>
      </c>
      <c r="J144">
        <v>1</v>
      </c>
      <c r="K144">
        <v>0</v>
      </c>
      <c r="L144">
        <v>70775.05</v>
      </c>
      <c r="M144">
        <v>0</v>
      </c>
      <c r="O144" t="str">
        <f t="shared" si="4"/>
        <v/>
      </c>
      <c r="P144">
        <f t="shared" si="5"/>
        <v>70775.05</v>
      </c>
      <c r="R144">
        <f t="array" ref="R144">IFERROR(INDEX($L$2:$L$501,SMALL(IF($M$2:$M$501=1,ROW($M$2:$M$501)-1),ROW()-1)),"")</f>
        <v>88503.02</v>
      </c>
      <c r="S144" cm="1">
        <f t="array" ref="S144">IFERROR(INDEX($L$2:$L$501,SMALL(IF($M$2:$M$501=0,ROW($M$2:$M$501)-1),ROW()-1)),"")</f>
        <v>31564.75</v>
      </c>
      <c r="U144" cm="1">
        <f t="array" ref="U144">IFERROR(INDEX($C$2:$C$501,SMALL(IF($D$2:$D$501="France",ROW($D$2:$D$501)-1),ROW()-1)),"")</f>
        <v>462</v>
      </c>
      <c r="V144" cm="1">
        <f t="array" ref="V144">IFERROR(INDEX($C$2:$C$501,SMALL(IF($D$2:$D$501="Germany",ROW($D$2:$D$501)-1),ROW()-1)),"")</f>
        <v>507</v>
      </c>
      <c r="W144" cm="1">
        <f t="array" ref="W144">IFERROR(INDEX($C$2:$C$501,SMALL(IF($D$2:$D$501="Spain",ROW($D$2:$D$501)-1),ROW()-1)),"")</f>
        <v>596</v>
      </c>
    </row>
    <row r="145" spans="1:23" x14ac:dyDescent="0.35">
      <c r="A145">
        <v>144</v>
      </c>
      <c r="B145" t="s">
        <v>14</v>
      </c>
      <c r="C145">
        <v>477</v>
      </c>
      <c r="D145" t="s">
        <v>24</v>
      </c>
      <c r="E145" t="s">
        <v>25</v>
      </c>
      <c r="F145">
        <v>83</v>
      </c>
      <c r="G145">
        <v>9</v>
      </c>
      <c r="H145">
        <v>113849.92</v>
      </c>
      <c r="I145">
        <v>1</v>
      </c>
      <c r="J145">
        <v>1</v>
      </c>
      <c r="K145">
        <v>1</v>
      </c>
      <c r="L145">
        <v>122175.46</v>
      </c>
      <c r="M145">
        <v>1</v>
      </c>
      <c r="O145">
        <f t="shared" si="4"/>
        <v>122175.46</v>
      </c>
      <c r="P145" t="str">
        <f t="shared" si="5"/>
        <v/>
      </c>
      <c r="R145">
        <f t="array" ref="R145">IFERROR(INDEX($L$2:$L$501,SMALL(IF($M$2:$M$501=1,ROW($M$2:$M$501)-1),ROW()-1)),"")</f>
        <v>75036.289999999994</v>
      </c>
      <c r="S145" cm="1">
        <f t="array" ref="S145">IFERROR(INDEX($L$2:$L$501,SMALL(IF($M$2:$M$501=0,ROW($M$2:$M$501)-1),ROW()-1)),"")</f>
        <v>20310.53</v>
      </c>
      <c r="U145" cm="1">
        <f t="array" ref="U145">IFERROR(INDEX($C$2:$C$501,SMALL(IF($D$2:$D$501="France",ROW($D$2:$D$501)-1),ROW()-1)),"")</f>
        <v>771</v>
      </c>
      <c r="V145" cm="1">
        <f t="array" ref="V145">IFERROR(INDEX($C$2:$C$501,SMALL(IF($D$2:$D$501="Germany",ROW($D$2:$D$501)-1),ROW()-1)),"")</f>
        <v>500</v>
      </c>
      <c r="W145" cm="1">
        <f t="array" ref="W145">IFERROR(INDEX($C$2:$C$501,SMALL(IF($D$2:$D$501="Spain",ROW($D$2:$D$501)-1),ROW()-1)),"")</f>
        <v>464</v>
      </c>
    </row>
    <row r="146" spans="1:23" x14ac:dyDescent="0.35">
      <c r="A146">
        <v>145</v>
      </c>
      <c r="B146" t="s">
        <v>20</v>
      </c>
      <c r="C146">
        <v>767</v>
      </c>
      <c r="D146" t="s">
        <v>23</v>
      </c>
      <c r="E146" t="s">
        <v>26</v>
      </c>
      <c r="F146">
        <v>40</v>
      </c>
      <c r="G146">
        <v>1</v>
      </c>
      <c r="H146">
        <v>116715.57</v>
      </c>
      <c r="I146">
        <v>1</v>
      </c>
      <c r="J146">
        <v>0</v>
      </c>
      <c r="K146">
        <v>0</v>
      </c>
      <c r="L146">
        <v>22814.14</v>
      </c>
      <c r="M146">
        <v>0</v>
      </c>
      <c r="O146" t="str">
        <f t="shared" si="4"/>
        <v/>
      </c>
      <c r="P146">
        <f t="shared" si="5"/>
        <v>22814.14</v>
      </c>
      <c r="R146">
        <f t="array" ref="R146">IFERROR(INDEX($L$2:$L$501,SMALL(IF($M$2:$M$501=1,ROW($M$2:$M$501)-1),ROW()-1)),"")</f>
        <v>127236.12</v>
      </c>
      <c r="S146" cm="1">
        <f t="array" ref="S146">IFERROR(INDEX($L$2:$L$501,SMALL(IF($M$2:$M$501=0,ROW($M$2:$M$501)-1),ROW()-1)),"")</f>
        <v>105880.01</v>
      </c>
      <c r="U146" cm="1">
        <f t="array" ref="U146">IFERROR(INDEX($C$2:$C$501,SMALL(IF($D$2:$D$501="France",ROW($D$2:$D$501)-1),ROW()-1)),"")</f>
        <v>787</v>
      </c>
      <c r="V146" cm="1">
        <f t="array" ref="V146">IFERROR(INDEX($C$2:$C$501,SMALL(IF($D$2:$D$501="Germany",ROW($D$2:$D$501)-1),ROW()-1)),"")</f>
        <v>473</v>
      </c>
      <c r="W146" cm="1">
        <f t="array" ref="W146">IFERROR(INDEX($C$2:$C$501,SMALL(IF($D$2:$D$501="Spain",ROW($D$2:$D$501)-1),ROW()-1)),"")</f>
        <v>821</v>
      </c>
    </row>
    <row r="147" spans="1:23" x14ac:dyDescent="0.35">
      <c r="A147">
        <v>146</v>
      </c>
      <c r="B147" t="s">
        <v>17</v>
      </c>
      <c r="C147">
        <v>687</v>
      </c>
      <c r="D147" t="s">
        <v>22</v>
      </c>
      <c r="E147" t="s">
        <v>26</v>
      </c>
      <c r="F147">
        <v>39</v>
      </c>
      <c r="G147">
        <v>8</v>
      </c>
      <c r="H147">
        <v>52909.38</v>
      </c>
      <c r="I147">
        <v>4</v>
      </c>
      <c r="J147">
        <v>0</v>
      </c>
      <c r="K147">
        <v>1</v>
      </c>
      <c r="L147">
        <v>34759.360000000001</v>
      </c>
      <c r="M147">
        <v>0</v>
      </c>
      <c r="O147" t="str">
        <f t="shared" si="4"/>
        <v/>
      </c>
      <c r="P147">
        <f t="shared" si="5"/>
        <v>34759.360000000001</v>
      </c>
      <c r="R147">
        <f t="array" ref="R147">IFERROR(INDEX($L$2:$L$501,SMALL(IF($M$2:$M$501=1,ROW($M$2:$M$501)-1),ROW()-1)),"")</f>
        <v>23547.86</v>
      </c>
      <c r="S147" cm="1">
        <f t="array" ref="S147">IFERROR(INDEX($L$2:$L$501,SMALL(IF($M$2:$M$501=0,ROW($M$2:$M$501)-1),ROW()-1)),"")</f>
        <v>118581.88</v>
      </c>
      <c r="U147" cm="1">
        <f t="array" ref="U147">IFERROR(INDEX($C$2:$C$501,SMALL(IF($D$2:$D$501="France",ROW($D$2:$D$501)-1),ROW()-1)),"")</f>
        <v>363</v>
      </c>
      <c r="V147" cm="1">
        <f t="array" ref="V147">IFERROR(INDEX($C$2:$C$501,SMALL(IF($D$2:$D$501="Germany",ROW($D$2:$D$501)-1),ROW()-1)),"")</f>
        <v>564</v>
      </c>
      <c r="W147" cm="1">
        <f t="array" ref="W147">IFERROR(INDEX($C$2:$C$501,SMALL(IF($D$2:$D$501="Spain",ROW($D$2:$D$501)-1),ROW()-1)),"")</f>
        <v>547</v>
      </c>
    </row>
    <row r="148" spans="1:23" x14ac:dyDescent="0.35">
      <c r="A148">
        <v>147</v>
      </c>
      <c r="B148" t="s">
        <v>20</v>
      </c>
      <c r="C148">
        <v>507</v>
      </c>
      <c r="D148" t="s">
        <v>22</v>
      </c>
      <c r="E148" t="s">
        <v>25</v>
      </c>
      <c r="F148">
        <v>75</v>
      </c>
      <c r="G148">
        <v>8</v>
      </c>
      <c r="H148">
        <v>238465.26</v>
      </c>
      <c r="I148">
        <v>4</v>
      </c>
      <c r="J148">
        <v>0</v>
      </c>
      <c r="K148">
        <v>1</v>
      </c>
      <c r="L148">
        <v>55585.67</v>
      </c>
      <c r="M148">
        <v>0</v>
      </c>
      <c r="O148" t="str">
        <f t="shared" si="4"/>
        <v/>
      </c>
      <c r="P148">
        <f t="shared" si="5"/>
        <v>55585.67</v>
      </c>
      <c r="R148">
        <f t="array" ref="R148">IFERROR(INDEX($L$2:$L$501,SMALL(IF($M$2:$M$501=1,ROW($M$2:$M$501)-1),ROW()-1)),"")</f>
        <v>21082.35</v>
      </c>
      <c r="S148" cm="1">
        <f t="array" ref="S148">IFERROR(INDEX($L$2:$L$501,SMALL(IF($M$2:$M$501=0,ROW($M$2:$M$501)-1),ROW()-1)),"")</f>
        <v>21570.41</v>
      </c>
      <c r="U148" cm="1">
        <f t="array" ref="U148">IFERROR(INDEX($C$2:$C$501,SMALL(IF($D$2:$D$501="France",ROW($D$2:$D$501)-1),ROW()-1)),"")</f>
        <v>625</v>
      </c>
      <c r="V148" cm="1">
        <f t="array" ref="V148">IFERROR(INDEX($C$2:$C$501,SMALL(IF($D$2:$D$501="Germany",ROW($D$2:$D$501)-1),ROW()-1)),"")</f>
        <v>409</v>
      </c>
      <c r="W148" cm="1">
        <f t="array" ref="W148">IFERROR(INDEX($C$2:$C$501,SMALL(IF($D$2:$D$501="Spain",ROW($D$2:$D$501)-1),ROW()-1)),"")</f>
        <v>450</v>
      </c>
    </row>
    <row r="149" spans="1:23" x14ac:dyDescent="0.35">
      <c r="A149">
        <v>148</v>
      </c>
      <c r="B149" t="s">
        <v>18</v>
      </c>
      <c r="C149">
        <v>362</v>
      </c>
      <c r="D149" t="s">
        <v>24</v>
      </c>
      <c r="E149" t="s">
        <v>25</v>
      </c>
      <c r="F149">
        <v>86</v>
      </c>
      <c r="G149">
        <v>6</v>
      </c>
      <c r="H149">
        <v>77731.5</v>
      </c>
      <c r="I149">
        <v>4</v>
      </c>
      <c r="J149">
        <v>0</v>
      </c>
      <c r="K149">
        <v>1</v>
      </c>
      <c r="L149">
        <v>128074.02</v>
      </c>
      <c r="M149">
        <v>1</v>
      </c>
      <c r="O149">
        <f t="shared" si="4"/>
        <v>128074.02</v>
      </c>
      <c r="P149" t="str">
        <f t="shared" si="5"/>
        <v/>
      </c>
      <c r="R149">
        <f t="array" ref="R149">IFERROR(INDEX($L$2:$L$501,SMALL(IF($M$2:$M$501=1,ROW($M$2:$M$501)-1),ROW()-1)),"")</f>
        <v>141248.29</v>
      </c>
      <c r="S149" cm="1">
        <f t="array" ref="S149">IFERROR(INDEX($L$2:$L$501,SMALL(IF($M$2:$M$501=0,ROW($M$2:$M$501)-1),ROW()-1)),"")</f>
        <v>129536.99</v>
      </c>
      <c r="U149" cm="1">
        <f t="array" ref="U149">IFERROR(INDEX($C$2:$C$501,SMALL(IF($D$2:$D$501="France",ROW($D$2:$D$501)-1),ROW()-1)),"")</f>
        <v>614</v>
      </c>
      <c r="V149" cm="1">
        <f t="array" ref="V149">IFERROR(INDEX($C$2:$C$501,SMALL(IF($D$2:$D$501="Germany",ROW($D$2:$D$501)-1),ROW()-1)),"")</f>
        <v>828</v>
      </c>
      <c r="W149" cm="1">
        <f t="array" ref="W149">IFERROR(INDEX($C$2:$C$501,SMALL(IF($D$2:$D$501="Spain",ROW($D$2:$D$501)-1),ROW()-1)),"")</f>
        <v>735</v>
      </c>
    </row>
    <row r="150" spans="1:23" x14ac:dyDescent="0.35">
      <c r="A150">
        <v>149</v>
      </c>
      <c r="B150" t="s">
        <v>14</v>
      </c>
      <c r="C150">
        <v>468</v>
      </c>
      <c r="D150" t="s">
        <v>24</v>
      </c>
      <c r="E150" t="s">
        <v>26</v>
      </c>
      <c r="F150">
        <v>63</v>
      </c>
      <c r="G150">
        <v>0</v>
      </c>
      <c r="H150">
        <v>99986.47</v>
      </c>
      <c r="I150">
        <v>4</v>
      </c>
      <c r="J150">
        <v>1</v>
      </c>
      <c r="K150">
        <v>1</v>
      </c>
      <c r="L150">
        <v>106009.52</v>
      </c>
      <c r="M150">
        <v>1</v>
      </c>
      <c r="O150">
        <f t="shared" si="4"/>
        <v>106009.52</v>
      </c>
      <c r="P150" t="str">
        <f t="shared" si="5"/>
        <v/>
      </c>
      <c r="R150">
        <f t="array" ref="R150">IFERROR(INDEX($L$2:$L$501,SMALL(IF($M$2:$M$501=1,ROW($M$2:$M$501)-1),ROW()-1)),"")</f>
        <v>132280.03</v>
      </c>
      <c r="S150" cm="1">
        <f t="array" ref="S150">IFERROR(INDEX($L$2:$L$501,SMALL(IF($M$2:$M$501=0,ROW($M$2:$M$501)-1),ROW()-1)),"")</f>
        <v>103203.97</v>
      </c>
      <c r="U150" cm="1">
        <f t="array" ref="U150">IFERROR(INDEX($C$2:$C$501,SMALL(IF($D$2:$D$501="France",ROW($D$2:$D$501)-1),ROW()-1)),"")</f>
        <v>702</v>
      </c>
      <c r="V150" cm="1">
        <f t="array" ref="V150">IFERROR(INDEX($C$2:$C$501,SMALL(IF($D$2:$D$501="Germany",ROW($D$2:$D$501)-1),ROW()-1)),"")</f>
        <v>515</v>
      </c>
      <c r="W150" cm="1">
        <f t="array" ref="W150">IFERROR(INDEX($C$2:$C$501,SMALL(IF($D$2:$D$501="Spain",ROW($D$2:$D$501)-1),ROW()-1)),"")</f>
        <v>739</v>
      </c>
    </row>
    <row r="151" spans="1:23" x14ac:dyDescent="0.35">
      <c r="A151">
        <v>150</v>
      </c>
      <c r="B151" t="s">
        <v>13</v>
      </c>
      <c r="C151">
        <v>652</v>
      </c>
      <c r="D151" t="s">
        <v>22</v>
      </c>
      <c r="E151" t="s">
        <v>26</v>
      </c>
      <c r="F151">
        <v>57</v>
      </c>
      <c r="G151">
        <v>0</v>
      </c>
      <c r="H151">
        <v>7447.39</v>
      </c>
      <c r="I151">
        <v>2</v>
      </c>
      <c r="J151">
        <v>0</v>
      </c>
      <c r="K151">
        <v>0</v>
      </c>
      <c r="L151">
        <v>60175.22</v>
      </c>
      <c r="M151">
        <v>1</v>
      </c>
      <c r="O151">
        <f t="shared" si="4"/>
        <v>60175.22</v>
      </c>
      <c r="P151" t="str">
        <f t="shared" si="5"/>
        <v/>
      </c>
      <c r="R151">
        <f t="array" ref="R151">IFERROR(INDEX($L$2:$L$501,SMALL(IF($M$2:$M$501=1,ROW($M$2:$M$501)-1),ROW()-1)),"")</f>
        <v>111365.93</v>
      </c>
      <c r="S151" cm="1">
        <f t="array" ref="S151">IFERROR(INDEX($L$2:$L$501,SMALL(IF($M$2:$M$501=0,ROW($M$2:$M$501)-1),ROW()-1)),"")</f>
        <v>111373.48</v>
      </c>
      <c r="U151" cm="1">
        <f t="array" ref="U151">IFERROR(INDEX($C$2:$C$501,SMALL(IF($D$2:$D$501="France",ROW($D$2:$D$501)-1),ROW()-1)),"")</f>
        <v>603</v>
      </c>
      <c r="V151" cm="1">
        <f t="array" ref="V151">IFERROR(INDEX($C$2:$C$501,SMALL(IF($D$2:$D$501="Germany",ROW($D$2:$D$501)-1),ROW()-1)),"")</f>
        <v>622</v>
      </c>
      <c r="W151" cm="1">
        <f t="array" ref="W151">IFERROR(INDEX($C$2:$C$501,SMALL(IF($D$2:$D$501="Spain",ROW($D$2:$D$501)-1),ROW()-1)),"")</f>
        <v>814</v>
      </c>
    </row>
    <row r="152" spans="1:23" x14ac:dyDescent="0.35">
      <c r="A152">
        <v>151</v>
      </c>
      <c r="B152" t="s">
        <v>18</v>
      </c>
      <c r="C152">
        <v>724</v>
      </c>
      <c r="D152" t="s">
        <v>24</v>
      </c>
      <c r="E152" t="s">
        <v>26</v>
      </c>
      <c r="F152">
        <v>42</v>
      </c>
      <c r="G152">
        <v>2</v>
      </c>
      <c r="H152">
        <v>97001.53</v>
      </c>
      <c r="I152">
        <v>3</v>
      </c>
      <c r="J152">
        <v>0</v>
      </c>
      <c r="K152">
        <v>0</v>
      </c>
      <c r="L152">
        <v>140671.21</v>
      </c>
      <c r="M152">
        <v>0</v>
      </c>
      <c r="O152" t="str">
        <f t="shared" si="4"/>
        <v/>
      </c>
      <c r="P152">
        <f t="shared" si="5"/>
        <v>140671.21</v>
      </c>
      <c r="R152">
        <f t="array" ref="R152">IFERROR(INDEX($L$2:$L$501,SMALL(IF($M$2:$M$501=1,ROW($M$2:$M$501)-1),ROW()-1)),"")</f>
        <v>119809.36</v>
      </c>
      <c r="S152" cm="1">
        <f t="array" ref="S152">IFERROR(INDEX($L$2:$L$501,SMALL(IF($M$2:$M$501=0,ROW($M$2:$M$501)-1),ROW()-1)),"")</f>
        <v>76167.42</v>
      </c>
      <c r="U152" cm="1">
        <f t="array" ref="U152">IFERROR(INDEX($C$2:$C$501,SMALL(IF($D$2:$D$501="France",ROW($D$2:$D$501)-1),ROW()-1)),"")</f>
        <v>380</v>
      </c>
      <c r="V152" cm="1">
        <f t="array" ref="V152">IFERROR(INDEX($C$2:$C$501,SMALL(IF($D$2:$D$501="Germany",ROW($D$2:$D$501)-1),ROW()-1)),"")</f>
        <v>629</v>
      </c>
      <c r="W152" cm="1">
        <f t="array" ref="W152">IFERROR(INDEX($C$2:$C$501,SMALL(IF($D$2:$D$501="Spain",ROW($D$2:$D$501)-1),ROW()-1)),"")</f>
        <v>580</v>
      </c>
    </row>
    <row r="153" spans="1:23" x14ac:dyDescent="0.35">
      <c r="A153">
        <v>152</v>
      </c>
      <c r="B153" t="s">
        <v>14</v>
      </c>
      <c r="C153">
        <v>638</v>
      </c>
      <c r="D153" t="s">
        <v>23</v>
      </c>
      <c r="E153" t="s">
        <v>25</v>
      </c>
      <c r="F153">
        <v>35</v>
      </c>
      <c r="G153">
        <v>3</v>
      </c>
      <c r="H153">
        <v>29176.44</v>
      </c>
      <c r="I153">
        <v>4</v>
      </c>
      <c r="J153">
        <v>1</v>
      </c>
      <c r="K153">
        <v>1</v>
      </c>
      <c r="L153">
        <v>119718.19</v>
      </c>
      <c r="M153">
        <v>0</v>
      </c>
      <c r="O153" t="str">
        <f t="shared" si="4"/>
        <v/>
      </c>
      <c r="P153">
        <f t="shared" si="5"/>
        <v>119718.19</v>
      </c>
      <c r="R153">
        <f t="array" ref="R153">IFERROR(INDEX($L$2:$L$501,SMALL(IF($M$2:$M$501=1,ROW($M$2:$M$501)-1),ROW()-1)),"")</f>
        <v>56250.21</v>
      </c>
      <c r="S153" cm="1">
        <f t="array" ref="S153">IFERROR(INDEX($L$2:$L$501,SMALL(IF($M$2:$M$501=0,ROW($M$2:$M$501)-1),ROW()-1)),"")</f>
        <v>126187.32</v>
      </c>
      <c r="U153" cm="1">
        <f t="array" ref="U153">IFERROR(INDEX($C$2:$C$501,SMALL(IF($D$2:$D$501="France",ROW($D$2:$D$501)-1),ROW()-1)),"")</f>
        <v>605</v>
      </c>
      <c r="V153" cm="1">
        <f t="array" ref="V153">IFERROR(INDEX($C$2:$C$501,SMALL(IF($D$2:$D$501="Germany",ROW($D$2:$D$501)-1),ROW()-1)),"")</f>
        <v>643</v>
      </c>
      <c r="W153" cm="1">
        <f t="array" ref="W153">IFERROR(INDEX($C$2:$C$501,SMALL(IF($D$2:$D$501="Spain",ROW($D$2:$D$501)-1),ROW()-1)),"")</f>
        <v>774</v>
      </c>
    </row>
    <row r="154" spans="1:23" x14ac:dyDescent="0.35">
      <c r="A154">
        <v>153</v>
      </c>
      <c r="B154" t="s">
        <v>19</v>
      </c>
      <c r="C154">
        <v>640</v>
      </c>
      <c r="D154" t="s">
        <v>23</v>
      </c>
      <c r="E154" t="s">
        <v>25</v>
      </c>
      <c r="F154">
        <v>70</v>
      </c>
      <c r="G154">
        <v>2</v>
      </c>
      <c r="H154">
        <v>47856.39</v>
      </c>
      <c r="I154">
        <v>1</v>
      </c>
      <c r="J154">
        <v>0</v>
      </c>
      <c r="K154">
        <v>1</v>
      </c>
      <c r="L154">
        <v>11462.63</v>
      </c>
      <c r="M154">
        <v>1</v>
      </c>
      <c r="O154">
        <f t="shared" si="4"/>
        <v>11462.63</v>
      </c>
      <c r="P154" t="str">
        <f t="shared" si="5"/>
        <v/>
      </c>
      <c r="R154">
        <f t="array" ref="R154">IFERROR(INDEX($L$2:$L$501,SMALL(IF($M$2:$M$501=1,ROW($M$2:$M$501)-1),ROW()-1)),"")</f>
        <v>130492.75</v>
      </c>
      <c r="S154" cm="1">
        <f t="array" ref="S154">IFERROR(INDEX($L$2:$L$501,SMALL(IF($M$2:$M$501=0,ROW($M$2:$M$501)-1),ROW()-1)),"")</f>
        <v>23783.4</v>
      </c>
      <c r="U154" cm="1">
        <f t="array" ref="U154">IFERROR(INDEX($C$2:$C$501,SMALL(IF($D$2:$D$501="France",ROW($D$2:$D$501)-1),ROW()-1)),"")</f>
        <v>610</v>
      </c>
      <c r="V154" cm="1">
        <f t="array" ref="V154">IFERROR(INDEX($C$2:$C$501,SMALL(IF($D$2:$D$501="Germany",ROW($D$2:$D$501)-1),ROW()-1)),"")</f>
        <v>695</v>
      </c>
      <c r="W154" cm="1">
        <f t="array" ref="W154">IFERROR(INDEX($C$2:$C$501,SMALL(IF($D$2:$D$501="Spain",ROW($D$2:$D$501)-1),ROW()-1)),"")</f>
        <v>369</v>
      </c>
    </row>
    <row r="155" spans="1:23" x14ac:dyDescent="0.35">
      <c r="A155">
        <v>154</v>
      </c>
      <c r="B155" t="s">
        <v>16</v>
      </c>
      <c r="C155">
        <v>465</v>
      </c>
      <c r="D155" t="s">
        <v>24</v>
      </c>
      <c r="E155" t="s">
        <v>26</v>
      </c>
      <c r="F155">
        <v>26</v>
      </c>
      <c r="G155">
        <v>1</v>
      </c>
      <c r="H155">
        <v>197384.58</v>
      </c>
      <c r="I155">
        <v>3</v>
      </c>
      <c r="J155">
        <v>0</v>
      </c>
      <c r="K155">
        <v>0</v>
      </c>
      <c r="L155">
        <v>73040.67</v>
      </c>
      <c r="M155">
        <v>1</v>
      </c>
      <c r="O155">
        <f t="shared" si="4"/>
        <v>73040.67</v>
      </c>
      <c r="P155" t="str">
        <f t="shared" si="5"/>
        <v/>
      </c>
      <c r="R155">
        <f t="array" ref="R155">IFERROR(INDEX($L$2:$L$501,SMALL(IF($M$2:$M$501=1,ROW($M$2:$M$501)-1),ROW()-1)),"")</f>
        <v>74150.789999999994</v>
      </c>
      <c r="S155" cm="1">
        <f t="array" ref="S155">IFERROR(INDEX($L$2:$L$501,SMALL(IF($M$2:$M$501=0,ROW($M$2:$M$501)-1),ROW()-1)),"")</f>
        <v>45722.09</v>
      </c>
      <c r="U155" cm="1">
        <f t="array" ref="U155">IFERROR(INDEX($C$2:$C$501,SMALL(IF($D$2:$D$501="France",ROW($D$2:$D$501)-1),ROW()-1)),"")</f>
        <v>712</v>
      </c>
      <c r="V155" cm="1">
        <f t="array" ref="V155">IFERROR(INDEX($C$2:$C$501,SMALL(IF($D$2:$D$501="Germany",ROW($D$2:$D$501)-1),ROW()-1)),"")</f>
        <v>813</v>
      </c>
      <c r="W155" cm="1">
        <f t="array" ref="W155">IFERROR(INDEX($C$2:$C$501,SMALL(IF($D$2:$D$501="Spain",ROW($D$2:$D$501)-1),ROW()-1)),"")</f>
        <v>498</v>
      </c>
    </row>
    <row r="156" spans="1:23" x14ac:dyDescent="0.35">
      <c r="A156">
        <v>155</v>
      </c>
      <c r="B156" t="s">
        <v>20</v>
      </c>
      <c r="C156">
        <v>437</v>
      </c>
      <c r="D156" t="s">
        <v>23</v>
      </c>
      <c r="E156" t="s">
        <v>25</v>
      </c>
      <c r="F156">
        <v>23</v>
      </c>
      <c r="G156">
        <v>9</v>
      </c>
      <c r="H156">
        <v>118047.52</v>
      </c>
      <c r="I156">
        <v>4</v>
      </c>
      <c r="J156">
        <v>0</v>
      </c>
      <c r="K156">
        <v>1</v>
      </c>
      <c r="L156">
        <v>69509.759999999995</v>
      </c>
      <c r="M156">
        <v>1</v>
      </c>
      <c r="O156">
        <f t="shared" si="4"/>
        <v>69509.759999999995</v>
      </c>
      <c r="P156" t="str">
        <f t="shared" si="5"/>
        <v/>
      </c>
      <c r="R156">
        <f t="array" ref="R156">IFERROR(INDEX($L$2:$L$501,SMALL(IF($M$2:$M$501=1,ROW($M$2:$M$501)-1),ROW()-1)),"")</f>
        <v>14556.33</v>
      </c>
      <c r="S156" cm="1">
        <f t="array" ref="S156">IFERROR(INDEX($L$2:$L$501,SMALL(IF($M$2:$M$501=0,ROW($M$2:$M$501)-1),ROW()-1)),"")</f>
        <v>57238.53</v>
      </c>
      <c r="U156" cm="1">
        <f t="array" ref="U156">IFERROR(INDEX($C$2:$C$501,SMALL(IF($D$2:$D$501="France",ROW($D$2:$D$501)-1),ROW()-1)),"")</f>
        <v>424</v>
      </c>
      <c r="V156" cm="1">
        <f t="array" ref="V156">IFERROR(INDEX($C$2:$C$501,SMALL(IF($D$2:$D$501="Germany",ROW($D$2:$D$501)-1),ROW()-1)),"")</f>
        <v>451</v>
      </c>
      <c r="W156" cm="1">
        <f t="array" ref="W156">IFERROR(INDEX($C$2:$C$501,SMALL(IF($D$2:$D$501="Spain",ROW($D$2:$D$501)-1),ROW()-1)),"")</f>
        <v>801</v>
      </c>
    </row>
    <row r="157" spans="1:23" x14ac:dyDescent="0.35">
      <c r="A157">
        <v>156</v>
      </c>
      <c r="B157" t="s">
        <v>13</v>
      </c>
      <c r="C157">
        <v>474</v>
      </c>
      <c r="D157" t="s">
        <v>22</v>
      </c>
      <c r="E157" t="s">
        <v>26</v>
      </c>
      <c r="F157">
        <v>28</v>
      </c>
      <c r="G157">
        <v>5</v>
      </c>
      <c r="H157">
        <v>209434.77</v>
      </c>
      <c r="I157">
        <v>2</v>
      </c>
      <c r="J157">
        <v>0</v>
      </c>
      <c r="K157">
        <v>0</v>
      </c>
      <c r="L157">
        <v>42983.99</v>
      </c>
      <c r="M157">
        <v>0</v>
      </c>
      <c r="O157" t="str">
        <f t="shared" si="4"/>
        <v/>
      </c>
      <c r="P157">
        <f t="shared" si="5"/>
        <v>42983.99</v>
      </c>
      <c r="R157">
        <f t="array" ref="R157">IFERROR(INDEX($L$2:$L$501,SMALL(IF($M$2:$M$501=1,ROW($M$2:$M$501)-1),ROW()-1)),"")</f>
        <v>107683.81</v>
      </c>
      <c r="S157" cm="1">
        <f t="array" ref="S157">IFERROR(INDEX($L$2:$L$501,SMALL(IF($M$2:$M$501=0,ROW($M$2:$M$501)-1),ROW()-1)),"")</f>
        <v>75002.11</v>
      </c>
      <c r="U157" cm="1">
        <f t="array" ref="U157">IFERROR(INDEX($C$2:$C$501,SMALL(IF($D$2:$D$501="France",ROW($D$2:$D$501)-1),ROW()-1)),"")</f>
        <v>666</v>
      </c>
      <c r="V157" cm="1">
        <f t="array" ref="V157">IFERROR(INDEX($C$2:$C$501,SMALL(IF($D$2:$D$501="Germany",ROW($D$2:$D$501)-1),ROW()-1)),"")</f>
        <v>647</v>
      </c>
      <c r="W157" cm="1">
        <f t="array" ref="W157">IFERROR(INDEX($C$2:$C$501,SMALL(IF($D$2:$D$501="Spain",ROW($D$2:$D$501)-1),ROW()-1)),"")</f>
        <v>579</v>
      </c>
    </row>
    <row r="158" spans="1:23" x14ac:dyDescent="0.35">
      <c r="A158">
        <v>157</v>
      </c>
      <c r="B158" t="s">
        <v>20</v>
      </c>
      <c r="C158">
        <v>759</v>
      </c>
      <c r="D158" t="s">
        <v>24</v>
      </c>
      <c r="E158" t="s">
        <v>25</v>
      </c>
      <c r="F158">
        <v>80</v>
      </c>
      <c r="G158">
        <v>6</v>
      </c>
      <c r="H158">
        <v>80712.23</v>
      </c>
      <c r="I158">
        <v>4</v>
      </c>
      <c r="J158">
        <v>1</v>
      </c>
      <c r="K158">
        <v>0</v>
      </c>
      <c r="L158">
        <v>49445.48</v>
      </c>
      <c r="M158">
        <v>1</v>
      </c>
      <c r="O158">
        <f t="shared" si="4"/>
        <v>49445.48</v>
      </c>
      <c r="P158" t="str">
        <f t="shared" si="5"/>
        <v/>
      </c>
      <c r="R158">
        <f t="array" ref="R158">IFERROR(INDEX($L$2:$L$501,SMALL(IF($M$2:$M$501=1,ROW($M$2:$M$501)-1),ROW()-1)),"")</f>
        <v>102035.16</v>
      </c>
      <c r="S158" cm="1">
        <f t="array" ref="S158">IFERROR(INDEX($L$2:$L$501,SMALL(IF($M$2:$M$501=0,ROW($M$2:$M$501)-1),ROW()-1)),"")</f>
        <v>107283.07</v>
      </c>
      <c r="U158" cm="1">
        <f t="array" ref="U158">IFERROR(INDEX($C$2:$C$501,SMALL(IF($D$2:$D$501="France",ROW($D$2:$D$501)-1),ROW()-1)),"")</f>
        <v>559</v>
      </c>
      <c r="V158" cm="1">
        <f t="array" ref="V158">IFERROR(INDEX($C$2:$C$501,SMALL(IF($D$2:$D$501="Germany",ROW($D$2:$D$501)-1),ROW()-1)),"")</f>
        <v>393</v>
      </c>
      <c r="W158" cm="1">
        <f t="array" ref="W158">IFERROR(INDEX($C$2:$C$501,SMALL(IF($D$2:$D$501="Spain",ROW($D$2:$D$501)-1),ROW()-1)),"")</f>
        <v>600</v>
      </c>
    </row>
    <row r="159" spans="1:23" x14ac:dyDescent="0.35">
      <c r="A159">
        <v>158</v>
      </c>
      <c r="B159" t="s">
        <v>12</v>
      </c>
      <c r="C159">
        <v>524</v>
      </c>
      <c r="D159" t="s">
        <v>23</v>
      </c>
      <c r="E159" t="s">
        <v>25</v>
      </c>
      <c r="F159">
        <v>47</v>
      </c>
      <c r="G159">
        <v>1</v>
      </c>
      <c r="H159">
        <v>95799.03</v>
      </c>
      <c r="I159">
        <v>4</v>
      </c>
      <c r="J159">
        <v>0</v>
      </c>
      <c r="K159">
        <v>1</v>
      </c>
      <c r="L159">
        <v>105598.56</v>
      </c>
      <c r="M159">
        <v>0</v>
      </c>
      <c r="O159" t="str">
        <f t="shared" si="4"/>
        <v/>
      </c>
      <c r="P159">
        <f t="shared" si="5"/>
        <v>105598.56</v>
      </c>
      <c r="R159">
        <f t="array" ref="R159">IFERROR(INDEX($L$2:$L$501,SMALL(IF($M$2:$M$501=1,ROW($M$2:$M$501)-1),ROW()-1)),"")</f>
        <v>140486.14000000001</v>
      </c>
      <c r="S159" cm="1">
        <f t="array" ref="S159">IFERROR(INDEX($L$2:$L$501,SMALL(IF($M$2:$M$501=0,ROW($M$2:$M$501)-1),ROW()-1)),"")</f>
        <v>124392.15</v>
      </c>
      <c r="U159" cm="1">
        <f t="array" ref="U159">IFERROR(INDEX($C$2:$C$501,SMALL(IF($D$2:$D$501="France",ROW($D$2:$D$501)-1),ROW()-1)),"")</f>
        <v>646</v>
      </c>
      <c r="V159" t="str" cm="1">
        <f t="array" ref="V159">IFERROR(INDEX($C$2:$C$501,SMALL(IF($D$2:$D$501="Germany",ROW($D$2:$D$501)-1),ROW()-1)),"")</f>
        <v/>
      </c>
      <c r="W159" cm="1">
        <f t="array" ref="W159">IFERROR(INDEX($C$2:$C$501,SMALL(IF($D$2:$D$501="Spain",ROW($D$2:$D$501)-1),ROW()-1)),"")</f>
        <v>443</v>
      </c>
    </row>
    <row r="160" spans="1:23" x14ac:dyDescent="0.35">
      <c r="A160">
        <v>159</v>
      </c>
      <c r="B160" t="s">
        <v>16</v>
      </c>
      <c r="C160">
        <v>848</v>
      </c>
      <c r="D160" t="s">
        <v>24</v>
      </c>
      <c r="E160" t="s">
        <v>25</v>
      </c>
      <c r="F160">
        <v>29</v>
      </c>
      <c r="G160">
        <v>10</v>
      </c>
      <c r="H160">
        <v>208033.65</v>
      </c>
      <c r="I160">
        <v>4</v>
      </c>
      <c r="J160">
        <v>1</v>
      </c>
      <c r="K160">
        <v>1</v>
      </c>
      <c r="L160">
        <v>43662.79</v>
      </c>
      <c r="M160">
        <v>1</v>
      </c>
      <c r="O160">
        <f t="shared" si="4"/>
        <v>43662.79</v>
      </c>
      <c r="P160" t="str">
        <f t="shared" si="5"/>
        <v/>
      </c>
      <c r="R160">
        <f t="array" ref="R160">IFERROR(INDEX($L$2:$L$501,SMALL(IF($M$2:$M$501=1,ROW($M$2:$M$501)-1),ROW()-1)),"")</f>
        <v>24566</v>
      </c>
      <c r="S160" cm="1">
        <f t="array" ref="S160">IFERROR(INDEX($L$2:$L$501,SMALL(IF($M$2:$M$501=0,ROW($M$2:$M$501)-1),ROW()-1)),"")</f>
        <v>15514.32</v>
      </c>
      <c r="U160" cm="1">
        <f t="array" ref="U160">IFERROR(INDEX($C$2:$C$501,SMALL(IF($D$2:$D$501="France",ROW($D$2:$D$501)-1),ROW()-1)),"")</f>
        <v>840</v>
      </c>
      <c r="V160" t="str" cm="1">
        <f t="array" ref="V160">IFERROR(INDEX($C$2:$C$501,SMALL(IF($D$2:$D$501="Germany",ROW($D$2:$D$501)-1),ROW()-1)),"")</f>
        <v/>
      </c>
      <c r="W160" cm="1">
        <f t="array" ref="W160">IFERROR(INDEX($C$2:$C$501,SMALL(IF($D$2:$D$501="Spain",ROW($D$2:$D$501)-1),ROW()-1)),"")</f>
        <v>519</v>
      </c>
    </row>
    <row r="161" spans="1:23" x14ac:dyDescent="0.35">
      <c r="A161">
        <v>160</v>
      </c>
      <c r="B161" t="s">
        <v>13</v>
      </c>
      <c r="C161">
        <v>713</v>
      </c>
      <c r="D161" t="s">
        <v>22</v>
      </c>
      <c r="E161" t="s">
        <v>26</v>
      </c>
      <c r="F161">
        <v>48</v>
      </c>
      <c r="G161">
        <v>8</v>
      </c>
      <c r="H161">
        <v>16907.88</v>
      </c>
      <c r="I161">
        <v>3</v>
      </c>
      <c r="J161">
        <v>0</v>
      </c>
      <c r="K161">
        <v>0</v>
      </c>
      <c r="L161">
        <v>113646.28</v>
      </c>
      <c r="M161">
        <v>1</v>
      </c>
      <c r="O161">
        <f t="shared" si="4"/>
        <v>113646.28</v>
      </c>
      <c r="P161" t="str">
        <f t="shared" si="5"/>
        <v/>
      </c>
      <c r="R161">
        <f t="array" ref="R161">IFERROR(INDEX($L$2:$L$501,SMALL(IF($M$2:$M$501=1,ROW($M$2:$M$501)-1),ROW()-1)),"")</f>
        <v>105985.33</v>
      </c>
      <c r="S161" cm="1">
        <f t="array" ref="S161">IFERROR(INDEX($L$2:$L$501,SMALL(IF($M$2:$M$501=0,ROW($M$2:$M$501)-1),ROW()-1)),"")</f>
        <v>12942.16</v>
      </c>
      <c r="U161" cm="1">
        <f t="array" ref="U161">IFERROR(INDEX($C$2:$C$501,SMALL(IF($D$2:$D$501="France",ROW($D$2:$D$501)-1),ROW()-1)),"")</f>
        <v>575</v>
      </c>
      <c r="V161" t="str" cm="1">
        <f t="array" ref="V161">IFERROR(INDEX($C$2:$C$501,SMALL(IF($D$2:$D$501="Germany",ROW($D$2:$D$501)-1),ROW()-1)),"")</f>
        <v/>
      </c>
      <c r="W161" cm="1">
        <f t="array" ref="W161">IFERROR(INDEX($C$2:$C$501,SMALL(IF($D$2:$D$501="Spain",ROW($D$2:$D$501)-1),ROW()-1)),"")</f>
        <v>390</v>
      </c>
    </row>
    <row r="162" spans="1:23" x14ac:dyDescent="0.35">
      <c r="A162">
        <v>161</v>
      </c>
      <c r="B162" t="s">
        <v>16</v>
      </c>
      <c r="C162">
        <v>402</v>
      </c>
      <c r="D162" t="s">
        <v>23</v>
      </c>
      <c r="E162" t="s">
        <v>25</v>
      </c>
      <c r="F162">
        <v>89</v>
      </c>
      <c r="G162">
        <v>7</v>
      </c>
      <c r="H162">
        <v>205105.61</v>
      </c>
      <c r="I162">
        <v>3</v>
      </c>
      <c r="J162">
        <v>1</v>
      </c>
      <c r="K162">
        <v>0</v>
      </c>
      <c r="L162">
        <v>75716.98</v>
      </c>
      <c r="M162">
        <v>1</v>
      </c>
      <c r="O162">
        <f t="shared" si="4"/>
        <v>75716.98</v>
      </c>
      <c r="P162" t="str">
        <f t="shared" si="5"/>
        <v/>
      </c>
      <c r="R162">
        <f t="array" ref="R162">IFERROR(INDEX($L$2:$L$501,SMALL(IF($M$2:$M$501=1,ROW($M$2:$M$501)-1),ROW()-1)),"")</f>
        <v>137236.54</v>
      </c>
      <c r="S162" cm="1">
        <f t="array" ref="S162">IFERROR(INDEX($L$2:$L$501,SMALL(IF($M$2:$M$501=0,ROW($M$2:$M$501)-1),ROW()-1)),"")</f>
        <v>140925.68</v>
      </c>
      <c r="U162" cm="1">
        <f t="array" ref="U162">IFERROR(INDEX($C$2:$C$501,SMALL(IF($D$2:$D$501="France",ROW($D$2:$D$501)-1),ROW()-1)),"")</f>
        <v>444</v>
      </c>
      <c r="V162" t="str" cm="1">
        <f t="array" ref="V162">IFERROR(INDEX($C$2:$C$501,SMALL(IF($D$2:$D$501="Germany",ROW($D$2:$D$501)-1),ROW()-1)),"")</f>
        <v/>
      </c>
      <c r="W162" cm="1">
        <f t="array" ref="W162">IFERROR(INDEX($C$2:$C$501,SMALL(IF($D$2:$D$501="Spain",ROW($D$2:$D$501)-1),ROW()-1)),"")</f>
        <v>538</v>
      </c>
    </row>
    <row r="163" spans="1:23" x14ac:dyDescent="0.35">
      <c r="A163">
        <v>162</v>
      </c>
      <c r="B163" t="s">
        <v>19</v>
      </c>
      <c r="C163">
        <v>839</v>
      </c>
      <c r="D163" t="s">
        <v>22</v>
      </c>
      <c r="E163" t="s">
        <v>26</v>
      </c>
      <c r="F163">
        <v>76</v>
      </c>
      <c r="G163">
        <v>7</v>
      </c>
      <c r="H163">
        <v>51347.49</v>
      </c>
      <c r="I163">
        <v>4</v>
      </c>
      <c r="J163">
        <v>0</v>
      </c>
      <c r="K163">
        <v>1</v>
      </c>
      <c r="L163">
        <v>21151.48</v>
      </c>
      <c r="M163">
        <v>0</v>
      </c>
      <c r="O163" t="str">
        <f t="shared" si="4"/>
        <v/>
      </c>
      <c r="P163">
        <f t="shared" si="5"/>
        <v>21151.48</v>
      </c>
      <c r="R163">
        <f t="array" ref="R163">IFERROR(INDEX($L$2:$L$501,SMALL(IF($M$2:$M$501=1,ROW($M$2:$M$501)-1),ROW()-1)),"")</f>
        <v>135716.10999999999</v>
      </c>
      <c r="S163" cm="1">
        <f t="array" ref="S163">IFERROR(INDEX($L$2:$L$501,SMALL(IF($M$2:$M$501=0,ROW($M$2:$M$501)-1),ROW()-1)),"")</f>
        <v>35048.160000000003</v>
      </c>
      <c r="U163" cm="1">
        <f t="array" ref="U163">IFERROR(INDEX($C$2:$C$501,SMALL(IF($D$2:$D$501="France",ROW($D$2:$D$501)-1),ROW()-1)),"")</f>
        <v>588</v>
      </c>
      <c r="V163" t="str" cm="1">
        <f t="array" ref="V163">IFERROR(INDEX($C$2:$C$501,SMALL(IF($D$2:$D$501="Germany",ROW($D$2:$D$501)-1),ROW()-1)),"")</f>
        <v/>
      </c>
      <c r="W163" cm="1">
        <f t="array" ref="W163">IFERROR(INDEX($C$2:$C$501,SMALL(IF($D$2:$D$501="Spain",ROW($D$2:$D$501)-1),ROW()-1)),"")</f>
        <v>529</v>
      </c>
    </row>
    <row r="164" spans="1:23" x14ac:dyDescent="0.35">
      <c r="A164">
        <v>163</v>
      </c>
      <c r="B164" t="s">
        <v>12</v>
      </c>
      <c r="C164">
        <v>460</v>
      </c>
      <c r="D164" t="s">
        <v>24</v>
      </c>
      <c r="E164" t="s">
        <v>25</v>
      </c>
      <c r="F164">
        <v>60</v>
      </c>
      <c r="G164">
        <v>3</v>
      </c>
      <c r="H164">
        <v>163732.6</v>
      </c>
      <c r="I164">
        <v>1</v>
      </c>
      <c r="J164">
        <v>1</v>
      </c>
      <c r="K164">
        <v>0</v>
      </c>
      <c r="L164">
        <v>66914.649999999994</v>
      </c>
      <c r="M164">
        <v>0</v>
      </c>
      <c r="O164" t="str">
        <f t="shared" si="4"/>
        <v/>
      </c>
      <c r="P164">
        <f t="shared" si="5"/>
        <v>66914.649999999994</v>
      </c>
      <c r="R164">
        <f t="array" ref="R164">IFERROR(INDEX($L$2:$L$501,SMALL(IF($M$2:$M$501=1,ROW($M$2:$M$501)-1),ROW()-1)),"")</f>
        <v>57175.83</v>
      </c>
      <c r="S164" cm="1">
        <f t="array" ref="S164">IFERROR(INDEX($L$2:$L$501,SMALL(IF($M$2:$M$501=0,ROW($M$2:$M$501)-1),ROW()-1)),"")</f>
        <v>129607.96</v>
      </c>
      <c r="U164" cm="1">
        <f t="array" ref="U164">IFERROR(INDEX($C$2:$C$501,SMALL(IF($D$2:$D$501="France",ROW($D$2:$D$501)-1),ROW()-1)),"")</f>
        <v>566</v>
      </c>
      <c r="V164" t="str" cm="1">
        <f t="array" ref="V164">IFERROR(INDEX($C$2:$C$501,SMALL(IF($D$2:$D$501="Germany",ROW($D$2:$D$501)-1),ROW()-1)),"")</f>
        <v/>
      </c>
      <c r="W164" cm="1">
        <f t="array" ref="W164">IFERROR(INDEX($C$2:$C$501,SMALL(IF($D$2:$D$501="Spain",ROW($D$2:$D$501)-1),ROW()-1)),"")</f>
        <v>379</v>
      </c>
    </row>
    <row r="165" spans="1:23" x14ac:dyDescent="0.35">
      <c r="A165">
        <v>164</v>
      </c>
      <c r="B165" t="s">
        <v>14</v>
      </c>
      <c r="C165">
        <v>414</v>
      </c>
      <c r="D165" t="s">
        <v>24</v>
      </c>
      <c r="E165" t="s">
        <v>26</v>
      </c>
      <c r="F165">
        <v>89</v>
      </c>
      <c r="G165">
        <v>4</v>
      </c>
      <c r="H165">
        <v>133217.37</v>
      </c>
      <c r="I165">
        <v>1</v>
      </c>
      <c r="J165">
        <v>0</v>
      </c>
      <c r="K165">
        <v>1</v>
      </c>
      <c r="L165">
        <v>120812.2</v>
      </c>
      <c r="M165">
        <v>1</v>
      </c>
      <c r="O165">
        <f t="shared" si="4"/>
        <v>120812.2</v>
      </c>
      <c r="P165" t="str">
        <f t="shared" si="5"/>
        <v/>
      </c>
      <c r="R165">
        <f t="array" ref="R165">IFERROR(INDEX($L$2:$L$501,SMALL(IF($M$2:$M$501=1,ROW($M$2:$M$501)-1),ROW()-1)),"")</f>
        <v>87583.039999999994</v>
      </c>
      <c r="S165" cm="1">
        <f t="array" ref="S165">IFERROR(INDEX($L$2:$L$501,SMALL(IF($M$2:$M$501=0,ROW($M$2:$M$501)-1),ROW()-1)),"")</f>
        <v>112678.04</v>
      </c>
      <c r="U165" cm="1">
        <f t="array" ref="U165">IFERROR(INDEX($C$2:$C$501,SMALL(IF($D$2:$D$501="France",ROW($D$2:$D$501)-1),ROW()-1)),"")</f>
        <v>705</v>
      </c>
      <c r="V165" t="str" cm="1">
        <f t="array" ref="V165">IFERROR(INDEX($C$2:$C$501,SMALL(IF($D$2:$D$501="Germany",ROW($D$2:$D$501)-1),ROW()-1)),"")</f>
        <v/>
      </c>
      <c r="W165" cm="1">
        <f t="array" ref="W165">IFERROR(INDEX($C$2:$C$501,SMALL(IF($D$2:$D$501="Spain",ROW($D$2:$D$501)-1),ROW()-1)),"")</f>
        <v>732</v>
      </c>
    </row>
    <row r="166" spans="1:23" x14ac:dyDescent="0.35">
      <c r="A166">
        <v>165</v>
      </c>
      <c r="B166" t="s">
        <v>21</v>
      </c>
      <c r="C166">
        <v>682</v>
      </c>
      <c r="D166" t="s">
        <v>23</v>
      </c>
      <c r="E166" t="s">
        <v>26</v>
      </c>
      <c r="F166">
        <v>43</v>
      </c>
      <c r="G166">
        <v>9</v>
      </c>
      <c r="H166">
        <v>197321.37</v>
      </c>
      <c r="I166">
        <v>4</v>
      </c>
      <c r="J166">
        <v>0</v>
      </c>
      <c r="K166">
        <v>0</v>
      </c>
      <c r="L166">
        <v>28096.07</v>
      </c>
      <c r="M166">
        <v>1</v>
      </c>
      <c r="O166">
        <f t="shared" si="4"/>
        <v>28096.07</v>
      </c>
      <c r="P166" t="str">
        <f t="shared" si="5"/>
        <v/>
      </c>
      <c r="R166">
        <f t="array" ref="R166">IFERROR(INDEX($L$2:$L$501,SMALL(IF($M$2:$M$501=1,ROW($M$2:$M$501)-1),ROW()-1)),"")</f>
        <v>87838.32</v>
      </c>
      <c r="S166" cm="1">
        <f t="array" ref="S166">IFERROR(INDEX($L$2:$L$501,SMALL(IF($M$2:$M$501=0,ROW($M$2:$M$501)-1),ROW()-1)),"")</f>
        <v>89777.41</v>
      </c>
      <c r="U166" cm="1">
        <f t="array" ref="U166">IFERROR(INDEX($C$2:$C$501,SMALL(IF($D$2:$D$501="France",ROW($D$2:$D$501)-1),ROW()-1)),"")</f>
        <v>517</v>
      </c>
      <c r="V166" t="str" cm="1">
        <f t="array" ref="V166">IFERROR(INDEX($C$2:$C$501,SMALL(IF($D$2:$D$501="Germany",ROW($D$2:$D$501)-1),ROW()-1)),"")</f>
        <v/>
      </c>
      <c r="W166" cm="1">
        <f t="array" ref="W166">IFERROR(INDEX($C$2:$C$501,SMALL(IF($D$2:$D$501="Spain",ROW($D$2:$D$501)-1),ROW()-1)),"")</f>
        <v>550</v>
      </c>
    </row>
    <row r="167" spans="1:23" x14ac:dyDescent="0.35">
      <c r="A167">
        <v>166</v>
      </c>
      <c r="B167" t="s">
        <v>20</v>
      </c>
      <c r="C167">
        <v>724</v>
      </c>
      <c r="D167" t="s">
        <v>22</v>
      </c>
      <c r="E167" t="s">
        <v>26</v>
      </c>
      <c r="F167">
        <v>72</v>
      </c>
      <c r="G167">
        <v>6</v>
      </c>
      <c r="H167">
        <v>191624.47</v>
      </c>
      <c r="I167">
        <v>3</v>
      </c>
      <c r="J167">
        <v>0</v>
      </c>
      <c r="K167">
        <v>0</v>
      </c>
      <c r="L167">
        <v>80375.98</v>
      </c>
      <c r="M167">
        <v>0</v>
      </c>
      <c r="O167" t="str">
        <f t="shared" si="4"/>
        <v/>
      </c>
      <c r="P167">
        <f t="shared" si="5"/>
        <v>80375.98</v>
      </c>
      <c r="R167">
        <f t="array" ref="R167">IFERROR(INDEX($L$2:$L$501,SMALL(IF($M$2:$M$501=1,ROW($M$2:$M$501)-1),ROW()-1)),"")</f>
        <v>90381.04</v>
      </c>
      <c r="S167" cm="1">
        <f t="array" ref="S167">IFERROR(INDEX($L$2:$L$501,SMALL(IF($M$2:$M$501=0,ROW($M$2:$M$501)-1),ROW()-1)),"")</f>
        <v>77933.48</v>
      </c>
      <c r="U167" cm="1">
        <f t="array" ref="U167">IFERROR(INDEX($C$2:$C$501,SMALL(IF($D$2:$D$501="France",ROW($D$2:$D$501)-1),ROW()-1)),"")</f>
        <v>507</v>
      </c>
      <c r="V167" t="str" cm="1">
        <f t="array" ref="V167">IFERROR(INDEX($C$2:$C$501,SMALL(IF($D$2:$D$501="Germany",ROW($D$2:$D$501)-1),ROW()-1)),"")</f>
        <v/>
      </c>
      <c r="W167" cm="1">
        <f t="array" ref="W167">IFERROR(INDEX($C$2:$C$501,SMALL(IF($D$2:$D$501="Spain",ROW($D$2:$D$501)-1),ROW()-1)),"")</f>
        <v>734</v>
      </c>
    </row>
    <row r="168" spans="1:23" x14ac:dyDescent="0.35">
      <c r="A168">
        <v>167</v>
      </c>
      <c r="B168" t="s">
        <v>13</v>
      </c>
      <c r="C168">
        <v>423</v>
      </c>
      <c r="D168" t="s">
        <v>24</v>
      </c>
      <c r="E168" t="s">
        <v>26</v>
      </c>
      <c r="F168">
        <v>43</v>
      </c>
      <c r="G168">
        <v>9</v>
      </c>
      <c r="H168">
        <v>143851</v>
      </c>
      <c r="I168">
        <v>1</v>
      </c>
      <c r="J168">
        <v>0</v>
      </c>
      <c r="K168">
        <v>1</v>
      </c>
      <c r="L168">
        <v>36084.61</v>
      </c>
      <c r="M168">
        <v>1</v>
      </c>
      <c r="O168">
        <f t="shared" si="4"/>
        <v>36084.61</v>
      </c>
      <c r="P168" t="str">
        <f t="shared" si="5"/>
        <v/>
      </c>
      <c r="R168">
        <f t="array" ref="R168">IFERROR(INDEX($L$2:$L$501,SMALL(IF($M$2:$M$501=1,ROW($M$2:$M$501)-1),ROW()-1)),"")</f>
        <v>90227.36</v>
      </c>
      <c r="S168" cm="1">
        <f t="array" ref="S168">IFERROR(INDEX($L$2:$L$501,SMALL(IF($M$2:$M$501=0,ROW($M$2:$M$501)-1),ROW()-1)),"")</f>
        <v>132665.07999999999</v>
      </c>
      <c r="U168" cm="1">
        <f t="array" ref="U168">IFERROR(INDEX($C$2:$C$501,SMALL(IF($D$2:$D$501="France",ROW($D$2:$D$501)-1),ROW()-1)),"")</f>
        <v>415</v>
      </c>
      <c r="V168" t="str" cm="1">
        <f t="array" ref="V168">IFERROR(INDEX($C$2:$C$501,SMALL(IF($D$2:$D$501="Germany",ROW($D$2:$D$501)-1),ROW()-1)),"")</f>
        <v/>
      </c>
      <c r="W168" cm="1">
        <f t="array" ref="W168">IFERROR(INDEX($C$2:$C$501,SMALL(IF($D$2:$D$501="Spain",ROW($D$2:$D$501)-1),ROW()-1)),"")</f>
        <v>717</v>
      </c>
    </row>
    <row r="169" spans="1:23" x14ac:dyDescent="0.35">
      <c r="A169">
        <v>168</v>
      </c>
      <c r="B169" t="s">
        <v>18</v>
      </c>
      <c r="C169">
        <v>496</v>
      </c>
      <c r="D169" t="s">
        <v>22</v>
      </c>
      <c r="E169" t="s">
        <v>26</v>
      </c>
      <c r="F169">
        <v>63</v>
      </c>
      <c r="G169">
        <v>6</v>
      </c>
      <c r="H169">
        <v>145172.32</v>
      </c>
      <c r="I169">
        <v>3</v>
      </c>
      <c r="J169">
        <v>0</v>
      </c>
      <c r="K169">
        <v>0</v>
      </c>
      <c r="L169">
        <v>139690.22</v>
      </c>
      <c r="M169">
        <v>1</v>
      </c>
      <c r="O169">
        <f t="shared" si="4"/>
        <v>139690.22</v>
      </c>
      <c r="P169" t="str">
        <f t="shared" si="5"/>
        <v/>
      </c>
      <c r="R169">
        <f t="array" ref="R169">IFERROR(INDEX($L$2:$L$501,SMALL(IF($M$2:$M$501=1,ROW($M$2:$M$501)-1),ROW()-1)),"")</f>
        <v>106046.27</v>
      </c>
      <c r="S169" cm="1">
        <f t="array" ref="S169">IFERROR(INDEX($L$2:$L$501,SMALL(IF($M$2:$M$501=0,ROW($M$2:$M$501)-1),ROW()-1)),"")</f>
        <v>122633.44</v>
      </c>
      <c r="U169" cm="1">
        <f t="array" ref="U169">IFERROR(INDEX($C$2:$C$501,SMALL(IF($D$2:$D$501="France",ROW($D$2:$D$501)-1),ROW()-1)),"")</f>
        <v>437</v>
      </c>
      <c r="V169" t="str" cm="1">
        <f t="array" ref="V169">IFERROR(INDEX($C$2:$C$501,SMALL(IF($D$2:$D$501="Germany",ROW($D$2:$D$501)-1),ROW()-1)),"")</f>
        <v/>
      </c>
      <c r="W169" cm="1">
        <f t="array" ref="W169">IFERROR(INDEX($C$2:$C$501,SMALL(IF($D$2:$D$501="Spain",ROW($D$2:$D$501)-1),ROW()-1)),"")</f>
        <v>797</v>
      </c>
    </row>
    <row r="170" spans="1:23" x14ac:dyDescent="0.35">
      <c r="A170">
        <v>169</v>
      </c>
      <c r="B170" t="s">
        <v>16</v>
      </c>
      <c r="C170">
        <v>610</v>
      </c>
      <c r="D170" t="s">
        <v>22</v>
      </c>
      <c r="E170" t="s">
        <v>25</v>
      </c>
      <c r="F170">
        <v>21</v>
      </c>
      <c r="G170">
        <v>4</v>
      </c>
      <c r="H170">
        <v>183590.26</v>
      </c>
      <c r="I170">
        <v>3</v>
      </c>
      <c r="J170">
        <v>1</v>
      </c>
      <c r="K170">
        <v>1</v>
      </c>
      <c r="L170">
        <v>86790.47</v>
      </c>
      <c r="M170">
        <v>0</v>
      </c>
      <c r="O170" t="str">
        <f t="shared" si="4"/>
        <v/>
      </c>
      <c r="P170">
        <f t="shared" si="5"/>
        <v>86790.47</v>
      </c>
      <c r="R170">
        <f t="array" ref="R170">IFERROR(INDEX($L$2:$L$501,SMALL(IF($M$2:$M$501=1,ROW($M$2:$M$501)-1),ROW()-1)),"")</f>
        <v>29342.26</v>
      </c>
      <c r="S170" cm="1">
        <f t="array" ref="S170">IFERROR(INDEX($L$2:$L$501,SMALL(IF($M$2:$M$501=0,ROW($M$2:$M$501)-1),ROW()-1)),"")</f>
        <v>15699.41</v>
      </c>
      <c r="U170" cm="1">
        <f t="array" ref="U170">IFERROR(INDEX($C$2:$C$501,SMALL(IF($D$2:$D$501="France",ROW($D$2:$D$501)-1),ROW()-1)),"")</f>
        <v>760</v>
      </c>
      <c r="V170" t="str" cm="1">
        <f t="array" ref="V170">IFERROR(INDEX($C$2:$C$501,SMALL(IF($D$2:$D$501="Germany",ROW($D$2:$D$501)-1),ROW()-1)),"")</f>
        <v/>
      </c>
      <c r="W170" cm="1">
        <f t="array" ref="W170">IFERROR(INDEX($C$2:$C$501,SMALL(IF($D$2:$D$501="Spain",ROW($D$2:$D$501)-1),ROW()-1)),"")</f>
        <v>484</v>
      </c>
    </row>
    <row r="171" spans="1:23" x14ac:dyDescent="0.35">
      <c r="A171">
        <v>170</v>
      </c>
      <c r="B171" t="s">
        <v>19</v>
      </c>
      <c r="C171">
        <v>613</v>
      </c>
      <c r="D171" t="s">
        <v>23</v>
      </c>
      <c r="E171" t="s">
        <v>25</v>
      </c>
      <c r="F171">
        <v>55</v>
      </c>
      <c r="G171">
        <v>1</v>
      </c>
      <c r="H171">
        <v>152640.81</v>
      </c>
      <c r="I171">
        <v>4</v>
      </c>
      <c r="J171">
        <v>1</v>
      </c>
      <c r="K171">
        <v>0</v>
      </c>
      <c r="L171">
        <v>33137.160000000003</v>
      </c>
      <c r="M171">
        <v>0</v>
      </c>
      <c r="O171" t="str">
        <f t="shared" si="4"/>
        <v/>
      </c>
      <c r="P171">
        <f t="shared" si="5"/>
        <v>33137.160000000003</v>
      </c>
      <c r="R171">
        <f t="array" ref="R171">IFERROR(INDEX($L$2:$L$501,SMALL(IF($M$2:$M$501=1,ROW($M$2:$M$501)-1),ROW()-1)),"")</f>
        <v>148688.76999999999</v>
      </c>
      <c r="S171" cm="1">
        <f t="array" ref="S171">IFERROR(INDEX($L$2:$L$501,SMALL(IF($M$2:$M$501=0,ROW($M$2:$M$501)-1),ROW()-1)),"")</f>
        <v>130825.14</v>
      </c>
      <c r="U171" cm="1">
        <f t="array" ref="U171">IFERROR(INDEX($C$2:$C$501,SMALL(IF($D$2:$D$501="France",ROW($D$2:$D$501)-1),ROW()-1)),"")</f>
        <v>567</v>
      </c>
      <c r="V171" t="str" cm="1">
        <f t="array" ref="V171">IFERROR(INDEX($C$2:$C$501,SMALL(IF($D$2:$D$501="Germany",ROW($D$2:$D$501)-1),ROW()-1)),"")</f>
        <v/>
      </c>
      <c r="W171" cm="1">
        <f t="array" ref="W171">IFERROR(INDEX($C$2:$C$501,SMALL(IF($D$2:$D$501="Spain",ROW($D$2:$D$501)-1),ROW()-1)),"")</f>
        <v>751</v>
      </c>
    </row>
    <row r="172" spans="1:23" x14ac:dyDescent="0.35">
      <c r="A172">
        <v>171</v>
      </c>
      <c r="B172" t="s">
        <v>12</v>
      </c>
      <c r="C172">
        <v>481</v>
      </c>
      <c r="D172" t="s">
        <v>22</v>
      </c>
      <c r="E172" t="s">
        <v>26</v>
      </c>
      <c r="F172">
        <v>51</v>
      </c>
      <c r="G172">
        <v>2</v>
      </c>
      <c r="H172">
        <v>139747.91</v>
      </c>
      <c r="I172">
        <v>4</v>
      </c>
      <c r="J172">
        <v>1</v>
      </c>
      <c r="K172">
        <v>1</v>
      </c>
      <c r="L172">
        <v>88266.73</v>
      </c>
      <c r="M172">
        <v>0</v>
      </c>
      <c r="O172" t="str">
        <f t="shared" si="4"/>
        <v/>
      </c>
      <c r="P172">
        <f t="shared" si="5"/>
        <v>88266.73</v>
      </c>
      <c r="R172">
        <f t="array" ref="R172">IFERROR(INDEX($L$2:$L$501,SMALL(IF($M$2:$M$501=1,ROW($M$2:$M$501)-1),ROW()-1)),"")</f>
        <v>129283.37</v>
      </c>
      <c r="S172" cm="1">
        <f t="array" ref="S172">IFERROR(INDEX($L$2:$L$501,SMALL(IF($M$2:$M$501=0,ROW($M$2:$M$501)-1),ROW()-1)),"")</f>
        <v>81521.02</v>
      </c>
      <c r="U172" cm="1">
        <f t="array" ref="U172">IFERROR(INDEX($C$2:$C$501,SMALL(IF($D$2:$D$501="France",ROW($D$2:$D$501)-1),ROW()-1)),"")</f>
        <v>566</v>
      </c>
      <c r="V172" t="str" cm="1">
        <f t="array" ref="V172">IFERROR(INDEX($C$2:$C$501,SMALL(IF($D$2:$D$501="Germany",ROW($D$2:$D$501)-1),ROW()-1)),"")</f>
        <v/>
      </c>
      <c r="W172" cm="1">
        <f t="array" ref="W172">IFERROR(INDEX($C$2:$C$501,SMALL(IF($D$2:$D$501="Spain",ROW($D$2:$D$501)-1),ROW()-1)),"")</f>
        <v>814</v>
      </c>
    </row>
    <row r="173" spans="1:23" x14ac:dyDescent="0.35">
      <c r="A173">
        <v>172</v>
      </c>
      <c r="B173" t="s">
        <v>15</v>
      </c>
      <c r="C173">
        <v>398</v>
      </c>
      <c r="D173" t="s">
        <v>24</v>
      </c>
      <c r="E173" t="s">
        <v>26</v>
      </c>
      <c r="F173">
        <v>78</v>
      </c>
      <c r="G173">
        <v>0</v>
      </c>
      <c r="H173">
        <v>124423.84</v>
      </c>
      <c r="I173">
        <v>4</v>
      </c>
      <c r="J173">
        <v>1</v>
      </c>
      <c r="K173">
        <v>1</v>
      </c>
      <c r="L173">
        <v>144202.79</v>
      </c>
      <c r="M173">
        <v>1</v>
      </c>
      <c r="O173">
        <f t="shared" si="4"/>
        <v>144202.79</v>
      </c>
      <c r="P173" t="str">
        <f t="shared" si="5"/>
        <v/>
      </c>
      <c r="R173">
        <f t="array" ref="R173">IFERROR(INDEX($L$2:$L$501,SMALL(IF($M$2:$M$501=1,ROW($M$2:$M$501)-1),ROW()-1)),"")</f>
        <v>100083.34</v>
      </c>
      <c r="S173" cm="1">
        <f t="array" ref="S173">IFERROR(INDEX($L$2:$L$501,SMALL(IF($M$2:$M$501=0,ROW($M$2:$M$501)-1),ROW()-1)),"")</f>
        <v>27505.16</v>
      </c>
      <c r="U173" t="str" cm="1">
        <f t="array" ref="U173">IFERROR(INDEX($C$2:$C$501,SMALL(IF($D$2:$D$501="France",ROW($D$2:$D$501)-1),ROW()-1)),"")</f>
        <v/>
      </c>
      <c r="V173" t="str" cm="1">
        <f t="array" ref="V173">IFERROR(INDEX($C$2:$C$501,SMALL(IF($D$2:$D$501="Germany",ROW($D$2:$D$501)-1),ROW()-1)),"")</f>
        <v/>
      </c>
      <c r="W173" cm="1">
        <f t="array" ref="W173">IFERROR(INDEX($C$2:$C$501,SMALL(IF($D$2:$D$501="Spain",ROW($D$2:$D$501)-1),ROW()-1)),"")</f>
        <v>718</v>
      </c>
    </row>
    <row r="174" spans="1:23" x14ac:dyDescent="0.35">
      <c r="A174">
        <v>173</v>
      </c>
      <c r="B174" t="s">
        <v>20</v>
      </c>
      <c r="C174">
        <v>426</v>
      </c>
      <c r="D174" t="s">
        <v>24</v>
      </c>
      <c r="E174" t="s">
        <v>26</v>
      </c>
      <c r="F174">
        <v>25</v>
      </c>
      <c r="G174">
        <v>0</v>
      </c>
      <c r="H174">
        <v>239377.45</v>
      </c>
      <c r="I174">
        <v>4</v>
      </c>
      <c r="J174">
        <v>0</v>
      </c>
      <c r="K174">
        <v>1</v>
      </c>
      <c r="L174">
        <v>126167.25</v>
      </c>
      <c r="M174">
        <v>0</v>
      </c>
      <c r="O174" t="str">
        <f t="shared" si="4"/>
        <v/>
      </c>
      <c r="P174">
        <f t="shared" si="5"/>
        <v>126167.25</v>
      </c>
      <c r="R174">
        <f t="array" ref="R174">IFERROR(INDEX($L$2:$L$501,SMALL(IF($M$2:$M$501=1,ROW($M$2:$M$501)-1),ROW()-1)),"")</f>
        <v>47420.92</v>
      </c>
      <c r="S174" cm="1">
        <f t="array" ref="S174">IFERROR(INDEX($L$2:$L$501,SMALL(IF($M$2:$M$501=0,ROW($M$2:$M$501)-1),ROW()-1)),"")</f>
        <v>135514.51</v>
      </c>
      <c r="U174" t="str" cm="1">
        <f t="array" ref="U174">IFERROR(INDEX($C$2:$C$501,SMALL(IF($D$2:$D$501="France",ROW($D$2:$D$501)-1),ROW()-1)),"")</f>
        <v/>
      </c>
      <c r="V174" t="str" cm="1">
        <f t="array" ref="V174">IFERROR(INDEX($C$2:$C$501,SMALL(IF($D$2:$D$501="Germany",ROW($D$2:$D$501)-1),ROW()-1)),"")</f>
        <v/>
      </c>
      <c r="W174" t="str" cm="1">
        <f t="array" ref="W174">IFERROR(INDEX($C$2:$C$501,SMALL(IF($D$2:$D$501="Spain",ROW($D$2:$D$501)-1),ROW()-1)),"")</f>
        <v/>
      </c>
    </row>
    <row r="175" spans="1:23" x14ac:dyDescent="0.35">
      <c r="A175">
        <v>174</v>
      </c>
      <c r="B175" t="s">
        <v>20</v>
      </c>
      <c r="C175">
        <v>643</v>
      </c>
      <c r="D175" t="s">
        <v>23</v>
      </c>
      <c r="E175" t="s">
        <v>25</v>
      </c>
      <c r="F175">
        <v>78</v>
      </c>
      <c r="G175">
        <v>10</v>
      </c>
      <c r="H175">
        <v>55309.99</v>
      </c>
      <c r="I175">
        <v>2</v>
      </c>
      <c r="J175">
        <v>0</v>
      </c>
      <c r="K175">
        <v>1</v>
      </c>
      <c r="L175">
        <v>57614.96</v>
      </c>
      <c r="M175">
        <v>1</v>
      </c>
      <c r="O175">
        <f t="shared" si="4"/>
        <v>57614.96</v>
      </c>
      <c r="P175" t="str">
        <f t="shared" si="5"/>
        <v/>
      </c>
      <c r="R175">
        <f t="array" ref="R175">IFERROR(INDEX($L$2:$L$501,SMALL(IF($M$2:$M$501=1,ROW($M$2:$M$501)-1),ROW()-1)),"")</f>
        <v>94143.76</v>
      </c>
      <c r="S175" cm="1">
        <f t="array" ref="S175">IFERROR(INDEX($L$2:$L$501,SMALL(IF($M$2:$M$501=0,ROW($M$2:$M$501)-1),ROW()-1)),"")</f>
        <v>96850.83</v>
      </c>
      <c r="U175" t="str" cm="1">
        <f t="array" ref="U175">IFERROR(INDEX($C$2:$C$501,SMALL(IF($D$2:$D$501="France",ROW($D$2:$D$501)-1),ROW()-1)),"")</f>
        <v/>
      </c>
      <c r="V175" t="str" cm="1">
        <f t="array" ref="V175">IFERROR(INDEX($C$2:$C$501,SMALL(IF($D$2:$D$501="Germany",ROW($D$2:$D$501)-1),ROW()-1)),"")</f>
        <v/>
      </c>
      <c r="W175" t="str" cm="1">
        <f t="array" ref="W175">IFERROR(INDEX($C$2:$C$501,SMALL(IF($D$2:$D$501="Spain",ROW($D$2:$D$501)-1),ROW()-1)),"")</f>
        <v/>
      </c>
    </row>
    <row r="176" spans="1:23" x14ac:dyDescent="0.35">
      <c r="A176">
        <v>175</v>
      </c>
      <c r="B176" t="s">
        <v>16</v>
      </c>
      <c r="C176">
        <v>466</v>
      </c>
      <c r="D176" t="s">
        <v>22</v>
      </c>
      <c r="E176" t="s">
        <v>26</v>
      </c>
      <c r="F176">
        <v>55</v>
      </c>
      <c r="G176">
        <v>7</v>
      </c>
      <c r="H176">
        <v>109273.56</v>
      </c>
      <c r="I176">
        <v>3</v>
      </c>
      <c r="J176">
        <v>1</v>
      </c>
      <c r="K176">
        <v>0</v>
      </c>
      <c r="L176">
        <v>114104.65</v>
      </c>
      <c r="M176">
        <v>1</v>
      </c>
      <c r="O176">
        <f t="shared" si="4"/>
        <v>114104.65</v>
      </c>
      <c r="P176" t="str">
        <f t="shared" si="5"/>
        <v/>
      </c>
      <c r="R176">
        <f t="array" ref="R176">IFERROR(INDEX($L$2:$L$501,SMALL(IF($M$2:$M$501=1,ROW($M$2:$M$501)-1),ROW()-1)),"")</f>
        <v>46765.52</v>
      </c>
      <c r="S176" cm="1">
        <f t="array" ref="S176">IFERROR(INDEX($L$2:$L$501,SMALL(IF($M$2:$M$501=0,ROW($M$2:$M$501)-1),ROW()-1)),"")</f>
        <v>70802.91</v>
      </c>
      <c r="U176" t="str" cm="1">
        <f t="array" ref="U176">IFERROR(INDEX($C$2:$C$501,SMALL(IF($D$2:$D$501="France",ROW($D$2:$D$501)-1),ROW()-1)),"")</f>
        <v/>
      </c>
      <c r="V176" t="str" cm="1">
        <f t="array" ref="V176">IFERROR(INDEX($C$2:$C$501,SMALL(IF($D$2:$D$501="Germany",ROW($D$2:$D$501)-1),ROW()-1)),"")</f>
        <v/>
      </c>
      <c r="W176" t="str" cm="1">
        <f t="array" ref="W176">IFERROR(INDEX($C$2:$C$501,SMALL(IF($D$2:$D$501="Spain",ROW($D$2:$D$501)-1),ROW()-1)),"")</f>
        <v/>
      </c>
    </row>
    <row r="177" spans="1:23" x14ac:dyDescent="0.35">
      <c r="A177">
        <v>176</v>
      </c>
      <c r="B177" t="s">
        <v>17</v>
      </c>
      <c r="C177">
        <v>843</v>
      </c>
      <c r="D177" t="s">
        <v>24</v>
      </c>
      <c r="E177" t="s">
        <v>25</v>
      </c>
      <c r="F177">
        <v>34</v>
      </c>
      <c r="G177">
        <v>6</v>
      </c>
      <c r="H177">
        <v>104696.85</v>
      </c>
      <c r="I177">
        <v>2</v>
      </c>
      <c r="J177">
        <v>0</v>
      </c>
      <c r="K177">
        <v>0</v>
      </c>
      <c r="L177">
        <v>106102.67</v>
      </c>
      <c r="M177">
        <v>1</v>
      </c>
      <c r="O177">
        <f t="shared" si="4"/>
        <v>106102.67</v>
      </c>
      <c r="P177" t="str">
        <f t="shared" si="5"/>
        <v/>
      </c>
      <c r="R177">
        <f t="array" ref="R177">IFERROR(INDEX($L$2:$L$501,SMALL(IF($M$2:$M$501=1,ROW($M$2:$M$501)-1),ROW()-1)),"")</f>
        <v>127716.72</v>
      </c>
      <c r="S177" cm="1">
        <f t="array" ref="S177">IFERROR(INDEX($L$2:$L$501,SMALL(IF($M$2:$M$501=0,ROW($M$2:$M$501)-1),ROW()-1)),"")</f>
        <v>97501.27</v>
      </c>
      <c r="U177" t="str" cm="1">
        <f t="array" ref="U177">IFERROR(INDEX($C$2:$C$501,SMALL(IF($D$2:$D$501="France",ROW($D$2:$D$501)-1),ROW()-1)),"")</f>
        <v/>
      </c>
      <c r="V177" t="str" cm="1">
        <f t="array" ref="V177">IFERROR(INDEX($C$2:$C$501,SMALL(IF($D$2:$D$501="Germany",ROW($D$2:$D$501)-1),ROW()-1)),"")</f>
        <v/>
      </c>
      <c r="W177" t="str" cm="1">
        <f t="array" ref="W177">IFERROR(INDEX($C$2:$C$501,SMALL(IF($D$2:$D$501="Spain",ROW($D$2:$D$501)-1),ROW()-1)),"")</f>
        <v/>
      </c>
    </row>
    <row r="178" spans="1:23" x14ac:dyDescent="0.35">
      <c r="A178">
        <v>177</v>
      </c>
      <c r="B178" t="s">
        <v>20</v>
      </c>
      <c r="C178">
        <v>398</v>
      </c>
      <c r="D178" t="s">
        <v>24</v>
      </c>
      <c r="E178" t="s">
        <v>26</v>
      </c>
      <c r="F178">
        <v>63</v>
      </c>
      <c r="G178">
        <v>2</v>
      </c>
      <c r="H178">
        <v>146639.1</v>
      </c>
      <c r="I178">
        <v>1</v>
      </c>
      <c r="J178">
        <v>1</v>
      </c>
      <c r="K178">
        <v>0</v>
      </c>
      <c r="L178">
        <v>114757.22</v>
      </c>
      <c r="M178">
        <v>1</v>
      </c>
      <c r="O178">
        <f t="shared" si="4"/>
        <v>114757.22</v>
      </c>
      <c r="P178" t="str">
        <f t="shared" si="5"/>
        <v/>
      </c>
      <c r="R178">
        <f t="array" ref="R178">IFERROR(INDEX($L$2:$L$501,SMALL(IF($M$2:$M$501=1,ROW($M$2:$M$501)-1),ROW()-1)),"")</f>
        <v>27387.77</v>
      </c>
      <c r="S178" cm="1">
        <f t="array" ref="S178">IFERROR(INDEX($L$2:$L$501,SMALL(IF($M$2:$M$501=0,ROW($M$2:$M$501)-1),ROW()-1)),"")</f>
        <v>43482.28</v>
      </c>
      <c r="U178" t="str" cm="1">
        <f t="array" ref="U178">IFERROR(INDEX($C$2:$C$501,SMALL(IF($D$2:$D$501="France",ROW($D$2:$D$501)-1),ROW()-1)),"")</f>
        <v/>
      </c>
      <c r="V178" t="str" cm="1">
        <f t="array" ref="V178">IFERROR(INDEX($C$2:$C$501,SMALL(IF($D$2:$D$501="Germany",ROW($D$2:$D$501)-1),ROW()-1)),"")</f>
        <v/>
      </c>
      <c r="W178" t="str" cm="1">
        <f t="array" ref="W178">IFERROR(INDEX($C$2:$C$501,SMALL(IF($D$2:$D$501="Spain",ROW($D$2:$D$501)-1),ROW()-1)),"")</f>
        <v/>
      </c>
    </row>
    <row r="179" spans="1:23" x14ac:dyDescent="0.35">
      <c r="A179">
        <v>178</v>
      </c>
      <c r="B179" t="s">
        <v>19</v>
      </c>
      <c r="C179">
        <v>459</v>
      </c>
      <c r="D179" t="s">
        <v>23</v>
      </c>
      <c r="E179" t="s">
        <v>25</v>
      </c>
      <c r="F179">
        <v>57</v>
      </c>
      <c r="G179">
        <v>10</v>
      </c>
      <c r="H179">
        <v>170945.73</v>
      </c>
      <c r="I179">
        <v>3</v>
      </c>
      <c r="J179">
        <v>0</v>
      </c>
      <c r="K179">
        <v>0</v>
      </c>
      <c r="L179">
        <v>77687.86</v>
      </c>
      <c r="M179">
        <v>0</v>
      </c>
      <c r="O179" t="str">
        <f t="shared" si="4"/>
        <v/>
      </c>
      <c r="P179">
        <f t="shared" si="5"/>
        <v>77687.86</v>
      </c>
      <c r="R179">
        <f t="array" ref="R179">IFERROR(INDEX($L$2:$L$501,SMALL(IF($M$2:$M$501=1,ROW($M$2:$M$501)-1),ROW()-1)),"")</f>
        <v>117202.4</v>
      </c>
      <c r="S179" cm="1">
        <f t="array" ref="S179">IFERROR(INDEX($L$2:$L$501,SMALL(IF($M$2:$M$501=0,ROW($M$2:$M$501)-1),ROW()-1)),"")</f>
        <v>47799.89</v>
      </c>
      <c r="U179" t="str" cm="1">
        <f t="array" ref="U179">IFERROR(INDEX($C$2:$C$501,SMALL(IF($D$2:$D$501="France",ROW($D$2:$D$501)-1),ROW()-1)),"")</f>
        <v/>
      </c>
      <c r="V179" t="str" cm="1">
        <f t="array" ref="V179">IFERROR(INDEX($C$2:$C$501,SMALL(IF($D$2:$D$501="Germany",ROW($D$2:$D$501)-1),ROW()-1)),"")</f>
        <v/>
      </c>
      <c r="W179" t="str" cm="1">
        <f t="array" ref="W179">IFERROR(INDEX($C$2:$C$501,SMALL(IF($D$2:$D$501="Spain",ROW($D$2:$D$501)-1),ROW()-1)),"")</f>
        <v/>
      </c>
    </row>
    <row r="180" spans="1:23" x14ac:dyDescent="0.35">
      <c r="A180">
        <v>179</v>
      </c>
      <c r="B180" t="s">
        <v>19</v>
      </c>
      <c r="C180">
        <v>816</v>
      </c>
      <c r="D180" t="s">
        <v>22</v>
      </c>
      <c r="E180" t="s">
        <v>26</v>
      </c>
      <c r="F180">
        <v>51</v>
      </c>
      <c r="G180">
        <v>9</v>
      </c>
      <c r="H180">
        <v>55692.78</v>
      </c>
      <c r="I180">
        <v>2</v>
      </c>
      <c r="J180">
        <v>0</v>
      </c>
      <c r="K180">
        <v>0</v>
      </c>
      <c r="L180">
        <v>138662.49</v>
      </c>
      <c r="M180">
        <v>1</v>
      </c>
      <c r="O180">
        <f t="shared" si="4"/>
        <v>138662.49</v>
      </c>
      <c r="P180" t="str">
        <f t="shared" si="5"/>
        <v/>
      </c>
      <c r="R180">
        <f t="array" ref="R180">IFERROR(INDEX($L$2:$L$501,SMALL(IF($M$2:$M$501=1,ROW($M$2:$M$501)-1),ROW()-1)),"")</f>
        <v>67005.429999999993</v>
      </c>
      <c r="S180" cm="1">
        <f t="array" ref="S180">IFERROR(INDEX($L$2:$L$501,SMALL(IF($M$2:$M$501=0,ROW($M$2:$M$501)-1),ROW()-1)),"")</f>
        <v>60737.81</v>
      </c>
      <c r="U180" t="str" cm="1">
        <f t="array" ref="U180">IFERROR(INDEX($C$2:$C$501,SMALL(IF($D$2:$D$501="France",ROW($D$2:$D$501)-1),ROW()-1)),"")</f>
        <v/>
      </c>
      <c r="V180" t="str" cm="1">
        <f t="array" ref="V180">IFERROR(INDEX($C$2:$C$501,SMALL(IF($D$2:$D$501="Germany",ROW($D$2:$D$501)-1),ROW()-1)),"")</f>
        <v/>
      </c>
      <c r="W180" t="str" cm="1">
        <f t="array" ref="W180">IFERROR(INDEX($C$2:$C$501,SMALL(IF($D$2:$D$501="Spain",ROW($D$2:$D$501)-1),ROW()-1)),"")</f>
        <v/>
      </c>
    </row>
    <row r="181" spans="1:23" x14ac:dyDescent="0.35">
      <c r="A181">
        <v>180</v>
      </c>
      <c r="B181" t="s">
        <v>16</v>
      </c>
      <c r="C181">
        <v>529</v>
      </c>
      <c r="D181" t="s">
        <v>22</v>
      </c>
      <c r="E181" t="s">
        <v>25</v>
      </c>
      <c r="F181">
        <v>83</v>
      </c>
      <c r="G181">
        <v>10</v>
      </c>
      <c r="H181">
        <v>140464.4</v>
      </c>
      <c r="I181">
        <v>2</v>
      </c>
      <c r="J181">
        <v>1</v>
      </c>
      <c r="K181">
        <v>0</v>
      </c>
      <c r="L181">
        <v>62160.12</v>
      </c>
      <c r="M181">
        <v>1</v>
      </c>
      <c r="O181">
        <f t="shared" si="4"/>
        <v>62160.12</v>
      </c>
      <c r="P181" t="str">
        <f t="shared" si="5"/>
        <v/>
      </c>
      <c r="R181">
        <f t="array" ref="R181">IFERROR(INDEX($L$2:$L$501,SMALL(IF($M$2:$M$501=1,ROW($M$2:$M$501)-1),ROW()-1)),"")</f>
        <v>37164.6</v>
      </c>
      <c r="S181" cm="1">
        <f t="array" ref="S181">IFERROR(INDEX($L$2:$L$501,SMALL(IF($M$2:$M$501=0,ROW($M$2:$M$501)-1),ROW()-1)),"")</f>
        <v>64850.98</v>
      </c>
      <c r="U181" t="str" cm="1">
        <f t="array" ref="U181">IFERROR(INDEX($C$2:$C$501,SMALL(IF($D$2:$D$501="France",ROW($D$2:$D$501)-1),ROW()-1)),"")</f>
        <v/>
      </c>
      <c r="V181" t="str" cm="1">
        <f t="array" ref="V181">IFERROR(INDEX($C$2:$C$501,SMALL(IF($D$2:$D$501="Germany",ROW($D$2:$D$501)-1),ROW()-1)),"")</f>
        <v/>
      </c>
      <c r="W181" t="str" cm="1">
        <f t="array" ref="W181">IFERROR(INDEX($C$2:$C$501,SMALL(IF($D$2:$D$501="Spain",ROW($D$2:$D$501)-1),ROW()-1)),"")</f>
        <v/>
      </c>
    </row>
    <row r="182" spans="1:23" x14ac:dyDescent="0.35">
      <c r="A182">
        <v>181</v>
      </c>
      <c r="B182" t="s">
        <v>21</v>
      </c>
      <c r="C182">
        <v>399</v>
      </c>
      <c r="D182" t="s">
        <v>22</v>
      </c>
      <c r="E182" t="s">
        <v>25</v>
      </c>
      <c r="F182">
        <v>91</v>
      </c>
      <c r="G182">
        <v>8</v>
      </c>
      <c r="H182">
        <v>230097.2</v>
      </c>
      <c r="I182">
        <v>4</v>
      </c>
      <c r="J182">
        <v>0</v>
      </c>
      <c r="K182">
        <v>0</v>
      </c>
      <c r="L182">
        <v>144755.60999999999</v>
      </c>
      <c r="M182">
        <v>0</v>
      </c>
      <c r="O182" t="str">
        <f t="shared" si="4"/>
        <v/>
      </c>
      <c r="P182">
        <f t="shared" si="5"/>
        <v>144755.60999999999</v>
      </c>
      <c r="R182">
        <f t="array" ref="R182">IFERROR(INDEX($L$2:$L$501,SMALL(IF($M$2:$M$501=1,ROW($M$2:$M$501)-1),ROW()-1)),"")</f>
        <v>125784.2</v>
      </c>
      <c r="S182" cm="1">
        <f t="array" ref="S182">IFERROR(INDEX($L$2:$L$501,SMALL(IF($M$2:$M$501=0,ROW($M$2:$M$501)-1),ROW()-1)),"")</f>
        <v>21108.79</v>
      </c>
      <c r="U182" t="str" cm="1">
        <f t="array" ref="U182">IFERROR(INDEX($C$2:$C$501,SMALL(IF($D$2:$D$501="France",ROW($D$2:$D$501)-1),ROW()-1)),"")</f>
        <v/>
      </c>
      <c r="V182" t="str" cm="1">
        <f t="array" ref="V182">IFERROR(INDEX($C$2:$C$501,SMALL(IF($D$2:$D$501="Germany",ROW($D$2:$D$501)-1),ROW()-1)),"")</f>
        <v/>
      </c>
      <c r="W182" t="str" cm="1">
        <f t="array" ref="W182">IFERROR(INDEX($C$2:$C$501,SMALL(IF($D$2:$D$501="Spain",ROW($D$2:$D$501)-1),ROW()-1)),"")</f>
        <v/>
      </c>
    </row>
    <row r="183" spans="1:23" x14ac:dyDescent="0.35">
      <c r="A183">
        <v>182</v>
      </c>
      <c r="B183" t="s">
        <v>19</v>
      </c>
      <c r="C183">
        <v>421</v>
      </c>
      <c r="D183" t="s">
        <v>24</v>
      </c>
      <c r="E183" t="s">
        <v>26</v>
      </c>
      <c r="F183">
        <v>86</v>
      </c>
      <c r="G183">
        <v>8</v>
      </c>
      <c r="H183">
        <v>58586.77</v>
      </c>
      <c r="I183">
        <v>4</v>
      </c>
      <c r="J183">
        <v>0</v>
      </c>
      <c r="K183">
        <v>0</v>
      </c>
      <c r="L183">
        <v>27139.72</v>
      </c>
      <c r="M183">
        <v>1</v>
      </c>
      <c r="O183">
        <f t="shared" si="4"/>
        <v>27139.72</v>
      </c>
      <c r="P183" t="str">
        <f t="shared" si="5"/>
        <v/>
      </c>
      <c r="R183">
        <f t="array" ref="R183">IFERROR(INDEX($L$2:$L$501,SMALL(IF($M$2:$M$501=1,ROW($M$2:$M$501)-1),ROW()-1)),"")</f>
        <v>33868.199999999997</v>
      </c>
      <c r="S183" cm="1">
        <f t="array" ref="S183">IFERROR(INDEX($L$2:$L$501,SMALL(IF($M$2:$M$501=0,ROW($M$2:$M$501)-1),ROW()-1)),"")</f>
        <v>134066.89000000001</v>
      </c>
      <c r="U183" t="str" cm="1">
        <f t="array" ref="U183">IFERROR(INDEX($C$2:$C$501,SMALL(IF($D$2:$D$501="France",ROW($D$2:$D$501)-1),ROW()-1)),"")</f>
        <v/>
      </c>
      <c r="V183" t="str" cm="1">
        <f t="array" ref="V183">IFERROR(INDEX($C$2:$C$501,SMALL(IF($D$2:$D$501="Germany",ROW($D$2:$D$501)-1),ROW()-1)),"")</f>
        <v/>
      </c>
      <c r="W183" t="str" cm="1">
        <f t="array" ref="W183">IFERROR(INDEX($C$2:$C$501,SMALL(IF($D$2:$D$501="Spain",ROW($D$2:$D$501)-1),ROW()-1)),"")</f>
        <v/>
      </c>
    </row>
    <row r="184" spans="1:23" x14ac:dyDescent="0.35">
      <c r="A184">
        <v>183</v>
      </c>
      <c r="B184" t="s">
        <v>20</v>
      </c>
      <c r="C184">
        <v>696</v>
      </c>
      <c r="D184" t="s">
        <v>24</v>
      </c>
      <c r="E184" t="s">
        <v>26</v>
      </c>
      <c r="F184">
        <v>42</v>
      </c>
      <c r="G184">
        <v>2</v>
      </c>
      <c r="H184">
        <v>27700.99</v>
      </c>
      <c r="I184">
        <v>2</v>
      </c>
      <c r="J184">
        <v>0</v>
      </c>
      <c r="K184">
        <v>0</v>
      </c>
      <c r="L184">
        <v>140547.93</v>
      </c>
      <c r="M184">
        <v>0</v>
      </c>
      <c r="O184" t="str">
        <f t="shared" si="4"/>
        <v/>
      </c>
      <c r="P184">
        <f t="shared" si="5"/>
        <v>140547.93</v>
      </c>
      <c r="R184">
        <f t="array" ref="R184">IFERROR(INDEX($L$2:$L$501,SMALL(IF($M$2:$M$501=1,ROW($M$2:$M$501)-1),ROW()-1)),"")</f>
        <v>108174.82</v>
      </c>
      <c r="S184" cm="1">
        <f t="array" ref="S184">IFERROR(INDEX($L$2:$L$501,SMALL(IF($M$2:$M$501=0,ROW($M$2:$M$501)-1),ROW()-1)),"")</f>
        <v>12942.78</v>
      </c>
      <c r="U184" t="str" cm="1">
        <f t="array" ref="U184">IFERROR(INDEX($C$2:$C$501,SMALL(IF($D$2:$D$501="France",ROW($D$2:$D$501)-1),ROW()-1)),"")</f>
        <v/>
      </c>
      <c r="V184" t="str" cm="1">
        <f t="array" ref="V184">IFERROR(INDEX($C$2:$C$501,SMALL(IF($D$2:$D$501="Germany",ROW($D$2:$D$501)-1),ROW()-1)),"")</f>
        <v/>
      </c>
      <c r="W184" t="str" cm="1">
        <f t="array" ref="W184">IFERROR(INDEX($C$2:$C$501,SMALL(IF($D$2:$D$501="Spain",ROW($D$2:$D$501)-1),ROW()-1)),"")</f>
        <v/>
      </c>
    </row>
    <row r="185" spans="1:23" x14ac:dyDescent="0.35">
      <c r="A185">
        <v>184</v>
      </c>
      <c r="B185" t="s">
        <v>20</v>
      </c>
      <c r="C185">
        <v>783</v>
      </c>
      <c r="D185" t="s">
        <v>23</v>
      </c>
      <c r="E185" t="s">
        <v>26</v>
      </c>
      <c r="F185">
        <v>24</v>
      </c>
      <c r="G185">
        <v>1</v>
      </c>
      <c r="H185">
        <v>69808.100000000006</v>
      </c>
      <c r="I185">
        <v>3</v>
      </c>
      <c r="J185">
        <v>1</v>
      </c>
      <c r="K185">
        <v>0</v>
      </c>
      <c r="L185">
        <v>116721.45</v>
      </c>
      <c r="M185">
        <v>0</v>
      </c>
      <c r="O185" t="str">
        <f t="shared" si="4"/>
        <v/>
      </c>
      <c r="P185">
        <f t="shared" si="5"/>
        <v>116721.45</v>
      </c>
      <c r="R185">
        <f t="array" ref="R185">IFERROR(INDEX($L$2:$L$501,SMALL(IF($M$2:$M$501=1,ROW($M$2:$M$501)-1),ROW()-1)),"")</f>
        <v>49422.5</v>
      </c>
      <c r="S185" cm="1">
        <f t="array" ref="S185">IFERROR(INDEX($L$2:$L$501,SMALL(IF($M$2:$M$501=0,ROW($M$2:$M$501)-1),ROW()-1)),"")</f>
        <v>81839.69</v>
      </c>
      <c r="U185" t="str" cm="1">
        <f t="array" ref="U185">IFERROR(INDEX($C$2:$C$501,SMALL(IF($D$2:$D$501="France",ROW($D$2:$D$501)-1),ROW()-1)),"")</f>
        <v/>
      </c>
      <c r="V185" t="str" cm="1">
        <f t="array" ref="V185">IFERROR(INDEX($C$2:$C$501,SMALL(IF($D$2:$D$501="Germany",ROW($D$2:$D$501)-1),ROW()-1)),"")</f>
        <v/>
      </c>
      <c r="W185" t="str" cm="1">
        <f t="array" ref="W185">IFERROR(INDEX($C$2:$C$501,SMALL(IF($D$2:$D$501="Spain",ROW($D$2:$D$501)-1),ROW()-1)),"")</f>
        <v/>
      </c>
    </row>
    <row r="186" spans="1:23" x14ac:dyDescent="0.35">
      <c r="A186">
        <v>185</v>
      </c>
      <c r="B186" t="s">
        <v>14</v>
      </c>
      <c r="C186">
        <v>844</v>
      </c>
      <c r="D186" t="s">
        <v>24</v>
      </c>
      <c r="E186" t="s">
        <v>26</v>
      </c>
      <c r="F186">
        <v>78</v>
      </c>
      <c r="G186">
        <v>10</v>
      </c>
      <c r="H186">
        <v>138185.18</v>
      </c>
      <c r="I186">
        <v>1</v>
      </c>
      <c r="J186">
        <v>0</v>
      </c>
      <c r="K186">
        <v>0</v>
      </c>
      <c r="L186">
        <v>143728.42000000001</v>
      </c>
      <c r="M186">
        <v>0</v>
      </c>
      <c r="O186" t="str">
        <f t="shared" si="4"/>
        <v/>
      </c>
      <c r="P186">
        <f t="shared" si="5"/>
        <v>143728.42000000001</v>
      </c>
      <c r="R186">
        <f t="array" ref="R186">IFERROR(INDEX($L$2:$L$501,SMALL(IF($M$2:$M$501=1,ROW($M$2:$M$501)-1),ROW()-1)),"")</f>
        <v>145049.72</v>
      </c>
      <c r="S186" cm="1">
        <f t="array" ref="S186">IFERROR(INDEX($L$2:$L$501,SMALL(IF($M$2:$M$501=0,ROW($M$2:$M$501)-1),ROW()-1)),"")</f>
        <v>121798.16</v>
      </c>
      <c r="U186" t="str" cm="1">
        <f t="array" ref="U186">IFERROR(INDEX($C$2:$C$501,SMALL(IF($D$2:$D$501="France",ROW($D$2:$D$501)-1),ROW()-1)),"")</f>
        <v/>
      </c>
      <c r="V186" t="str" cm="1">
        <f t="array" ref="V186">IFERROR(INDEX($C$2:$C$501,SMALL(IF($D$2:$D$501="Germany",ROW($D$2:$D$501)-1),ROW()-1)),"")</f>
        <v/>
      </c>
      <c r="W186" t="str" cm="1">
        <f t="array" ref="W186">IFERROR(INDEX($C$2:$C$501,SMALL(IF($D$2:$D$501="Spain",ROW($D$2:$D$501)-1),ROW()-1)),"")</f>
        <v/>
      </c>
    </row>
    <row r="187" spans="1:23" x14ac:dyDescent="0.35">
      <c r="A187">
        <v>186</v>
      </c>
      <c r="B187" t="s">
        <v>17</v>
      </c>
      <c r="C187">
        <v>635</v>
      </c>
      <c r="D187" t="s">
        <v>23</v>
      </c>
      <c r="E187" t="s">
        <v>25</v>
      </c>
      <c r="F187">
        <v>79</v>
      </c>
      <c r="G187">
        <v>2</v>
      </c>
      <c r="H187">
        <v>113120.37</v>
      </c>
      <c r="I187">
        <v>3</v>
      </c>
      <c r="J187">
        <v>1</v>
      </c>
      <c r="K187">
        <v>0</v>
      </c>
      <c r="L187">
        <v>87508.69</v>
      </c>
      <c r="M187">
        <v>0</v>
      </c>
      <c r="O187" t="str">
        <f t="shared" si="4"/>
        <v/>
      </c>
      <c r="P187">
        <f t="shared" si="5"/>
        <v>87508.69</v>
      </c>
      <c r="R187">
        <f t="array" ref="R187">IFERROR(INDEX($L$2:$L$501,SMALL(IF($M$2:$M$501=1,ROW($M$2:$M$501)-1),ROW()-1)),"")</f>
        <v>118783.64</v>
      </c>
      <c r="S187" cm="1">
        <f t="array" ref="S187">IFERROR(INDEX($L$2:$L$501,SMALL(IF($M$2:$M$501=0,ROW($M$2:$M$501)-1),ROW()-1)),"")</f>
        <v>64388.61</v>
      </c>
      <c r="U187" t="str" cm="1">
        <f t="array" ref="U187">IFERROR(INDEX($C$2:$C$501,SMALL(IF($D$2:$D$501="France",ROW($D$2:$D$501)-1),ROW()-1)),"")</f>
        <v/>
      </c>
      <c r="V187" t="str" cm="1">
        <f t="array" ref="V187">IFERROR(INDEX($C$2:$C$501,SMALL(IF($D$2:$D$501="Germany",ROW($D$2:$D$501)-1),ROW()-1)),"")</f>
        <v/>
      </c>
      <c r="W187" t="str" cm="1">
        <f t="array" ref="W187">IFERROR(INDEX($C$2:$C$501,SMALL(IF($D$2:$D$501="Spain",ROW($D$2:$D$501)-1),ROW()-1)),"")</f>
        <v/>
      </c>
    </row>
    <row r="188" spans="1:23" x14ac:dyDescent="0.35">
      <c r="A188">
        <v>187</v>
      </c>
      <c r="B188" t="s">
        <v>14</v>
      </c>
      <c r="C188">
        <v>353</v>
      </c>
      <c r="D188" t="s">
        <v>23</v>
      </c>
      <c r="E188" t="s">
        <v>25</v>
      </c>
      <c r="F188">
        <v>77</v>
      </c>
      <c r="G188">
        <v>7</v>
      </c>
      <c r="H188">
        <v>110096.43</v>
      </c>
      <c r="I188">
        <v>4</v>
      </c>
      <c r="J188">
        <v>1</v>
      </c>
      <c r="K188">
        <v>0</v>
      </c>
      <c r="L188">
        <v>141135.62</v>
      </c>
      <c r="M188">
        <v>1</v>
      </c>
      <c r="O188">
        <f t="shared" si="4"/>
        <v>141135.62</v>
      </c>
      <c r="P188" t="str">
        <f t="shared" si="5"/>
        <v/>
      </c>
      <c r="R188">
        <f t="array" ref="R188">IFERROR(INDEX($L$2:$L$501,SMALL(IF($M$2:$M$501=1,ROW($M$2:$M$501)-1),ROW()-1)),"")</f>
        <v>17554.759999999998</v>
      </c>
      <c r="S188" cm="1">
        <f t="array" ref="S188">IFERROR(INDEX($L$2:$L$501,SMALL(IF($M$2:$M$501=0,ROW($M$2:$M$501)-1),ROW()-1)),"")</f>
        <v>127051.78</v>
      </c>
      <c r="U188" t="str" cm="1">
        <f t="array" ref="U188">IFERROR(INDEX($C$2:$C$501,SMALL(IF($D$2:$D$501="France",ROW($D$2:$D$501)-1),ROW()-1)),"")</f>
        <v/>
      </c>
      <c r="V188" t="str" cm="1">
        <f t="array" ref="V188">IFERROR(INDEX($C$2:$C$501,SMALL(IF($D$2:$D$501="Germany",ROW($D$2:$D$501)-1),ROW()-1)),"")</f>
        <v/>
      </c>
      <c r="W188" t="str" cm="1">
        <f t="array" ref="W188">IFERROR(INDEX($C$2:$C$501,SMALL(IF($D$2:$D$501="Spain",ROW($D$2:$D$501)-1),ROW()-1)),"")</f>
        <v/>
      </c>
    </row>
    <row r="189" spans="1:23" x14ac:dyDescent="0.35">
      <c r="A189">
        <v>188</v>
      </c>
      <c r="B189" t="s">
        <v>19</v>
      </c>
      <c r="C189">
        <v>424</v>
      </c>
      <c r="D189" t="s">
        <v>22</v>
      </c>
      <c r="E189" t="s">
        <v>25</v>
      </c>
      <c r="F189">
        <v>47</v>
      </c>
      <c r="G189">
        <v>6</v>
      </c>
      <c r="H189">
        <v>163549.64000000001</v>
      </c>
      <c r="I189">
        <v>1</v>
      </c>
      <c r="J189">
        <v>1</v>
      </c>
      <c r="K189">
        <v>0</v>
      </c>
      <c r="L189">
        <v>33745.43</v>
      </c>
      <c r="M189">
        <v>1</v>
      </c>
      <c r="O189">
        <f t="shared" si="4"/>
        <v>33745.43</v>
      </c>
      <c r="P189" t="str">
        <f t="shared" si="5"/>
        <v/>
      </c>
      <c r="R189">
        <f t="array" ref="R189">IFERROR(INDEX($L$2:$L$501,SMALL(IF($M$2:$M$501=1,ROW($M$2:$M$501)-1),ROW()-1)),"")</f>
        <v>104636.55</v>
      </c>
      <c r="S189" cm="1">
        <f t="array" ref="S189">IFERROR(INDEX($L$2:$L$501,SMALL(IF($M$2:$M$501=0,ROW($M$2:$M$501)-1),ROW()-1)),"")</f>
        <v>22278.37</v>
      </c>
      <c r="U189" t="str" cm="1">
        <f t="array" ref="U189">IFERROR(INDEX($C$2:$C$501,SMALL(IF($D$2:$D$501="France",ROW($D$2:$D$501)-1),ROW()-1)),"")</f>
        <v/>
      </c>
      <c r="V189" t="str" cm="1">
        <f t="array" ref="V189">IFERROR(INDEX($C$2:$C$501,SMALL(IF($D$2:$D$501="Germany",ROW($D$2:$D$501)-1),ROW()-1)),"")</f>
        <v/>
      </c>
      <c r="W189" t="str" cm="1">
        <f t="array" ref="W189">IFERROR(INDEX($C$2:$C$501,SMALL(IF($D$2:$D$501="Spain",ROW($D$2:$D$501)-1),ROW()-1)),"")</f>
        <v/>
      </c>
    </row>
    <row r="190" spans="1:23" x14ac:dyDescent="0.35">
      <c r="A190">
        <v>189</v>
      </c>
      <c r="B190" t="s">
        <v>14</v>
      </c>
      <c r="C190">
        <v>434</v>
      </c>
      <c r="D190" t="s">
        <v>23</v>
      </c>
      <c r="E190" t="s">
        <v>25</v>
      </c>
      <c r="F190">
        <v>46</v>
      </c>
      <c r="G190">
        <v>6</v>
      </c>
      <c r="H190">
        <v>229121.35</v>
      </c>
      <c r="I190">
        <v>2</v>
      </c>
      <c r="J190">
        <v>1</v>
      </c>
      <c r="K190">
        <v>0</v>
      </c>
      <c r="L190">
        <v>14185.62</v>
      </c>
      <c r="M190">
        <v>0</v>
      </c>
      <c r="O190" t="str">
        <f t="shared" si="4"/>
        <v/>
      </c>
      <c r="P190">
        <f t="shared" si="5"/>
        <v>14185.62</v>
      </c>
      <c r="R190">
        <f t="array" ref="R190">IFERROR(INDEX($L$2:$L$501,SMALL(IF($M$2:$M$501=1,ROW($M$2:$M$501)-1),ROW()-1)),"")</f>
        <v>16581.23</v>
      </c>
      <c r="S190" cm="1">
        <f t="array" ref="S190">IFERROR(INDEX($L$2:$L$501,SMALL(IF($M$2:$M$501=0,ROW($M$2:$M$501)-1),ROW()-1)),"")</f>
        <v>41989.11</v>
      </c>
      <c r="U190" t="str" cm="1">
        <f t="array" ref="U190">IFERROR(INDEX($C$2:$C$501,SMALL(IF($D$2:$D$501="France",ROW($D$2:$D$501)-1),ROW()-1)),"")</f>
        <v/>
      </c>
      <c r="V190" t="str" cm="1">
        <f t="array" ref="V190">IFERROR(INDEX($C$2:$C$501,SMALL(IF($D$2:$D$501="Germany",ROW($D$2:$D$501)-1),ROW()-1)),"")</f>
        <v/>
      </c>
      <c r="W190" t="str" cm="1">
        <f t="array" ref="W190">IFERROR(INDEX($C$2:$C$501,SMALL(IF($D$2:$D$501="Spain",ROW($D$2:$D$501)-1),ROW()-1)),"")</f>
        <v/>
      </c>
    </row>
    <row r="191" spans="1:23" x14ac:dyDescent="0.35">
      <c r="A191">
        <v>190</v>
      </c>
      <c r="B191" t="s">
        <v>19</v>
      </c>
      <c r="C191">
        <v>840</v>
      </c>
      <c r="D191" t="s">
        <v>22</v>
      </c>
      <c r="E191" t="s">
        <v>25</v>
      </c>
      <c r="F191">
        <v>42</v>
      </c>
      <c r="G191">
        <v>2</v>
      </c>
      <c r="H191">
        <v>46465.66</v>
      </c>
      <c r="I191">
        <v>3</v>
      </c>
      <c r="J191">
        <v>1</v>
      </c>
      <c r="K191">
        <v>1</v>
      </c>
      <c r="L191">
        <v>108093.18</v>
      </c>
      <c r="M191">
        <v>1</v>
      </c>
      <c r="O191">
        <f t="shared" si="4"/>
        <v>108093.18</v>
      </c>
      <c r="P191" t="str">
        <f t="shared" si="5"/>
        <v/>
      </c>
      <c r="R191">
        <f t="array" ref="R191">IFERROR(INDEX($L$2:$L$501,SMALL(IF($M$2:$M$501=1,ROW($M$2:$M$501)-1),ROW()-1)),"")</f>
        <v>146255.76999999999</v>
      </c>
      <c r="S191" cm="1">
        <f t="array" ref="S191">IFERROR(INDEX($L$2:$L$501,SMALL(IF($M$2:$M$501=0,ROW($M$2:$M$501)-1),ROW()-1)),"")</f>
        <v>44531.43</v>
      </c>
      <c r="U191" t="str" cm="1">
        <f t="array" ref="U191">IFERROR(INDEX($C$2:$C$501,SMALL(IF($D$2:$D$501="France",ROW($D$2:$D$501)-1),ROW()-1)),"")</f>
        <v/>
      </c>
      <c r="V191" t="str" cm="1">
        <f t="array" ref="V191">IFERROR(INDEX($C$2:$C$501,SMALL(IF($D$2:$D$501="Germany",ROW($D$2:$D$501)-1),ROW()-1)),"")</f>
        <v/>
      </c>
      <c r="W191" t="str" cm="1">
        <f t="array" ref="W191">IFERROR(INDEX($C$2:$C$501,SMALL(IF($D$2:$D$501="Spain",ROW($D$2:$D$501)-1),ROW()-1)),"")</f>
        <v/>
      </c>
    </row>
    <row r="192" spans="1:23" x14ac:dyDescent="0.35">
      <c r="A192">
        <v>191</v>
      </c>
      <c r="B192" t="s">
        <v>12</v>
      </c>
      <c r="C192">
        <v>671</v>
      </c>
      <c r="D192" t="s">
        <v>22</v>
      </c>
      <c r="E192" t="s">
        <v>25</v>
      </c>
      <c r="F192">
        <v>21</v>
      </c>
      <c r="G192">
        <v>1</v>
      </c>
      <c r="H192">
        <v>87143.41</v>
      </c>
      <c r="I192">
        <v>2</v>
      </c>
      <c r="J192">
        <v>0</v>
      </c>
      <c r="K192">
        <v>0</v>
      </c>
      <c r="L192">
        <v>130888.76</v>
      </c>
      <c r="M192">
        <v>1</v>
      </c>
      <c r="O192">
        <f t="shared" si="4"/>
        <v>130888.76</v>
      </c>
      <c r="P192" t="str">
        <f t="shared" si="5"/>
        <v/>
      </c>
      <c r="R192">
        <f t="array" ref="R192">IFERROR(INDEX($L$2:$L$501,SMALL(IF($M$2:$M$501=1,ROW($M$2:$M$501)-1),ROW()-1)),"")</f>
        <v>100509.25</v>
      </c>
      <c r="S192" cm="1">
        <f t="array" ref="S192">IFERROR(INDEX($L$2:$L$501,SMALL(IF($M$2:$M$501=0,ROW($M$2:$M$501)-1),ROW()-1)),"")</f>
        <v>76620.289999999994</v>
      </c>
      <c r="U192" t="str" cm="1">
        <f t="array" ref="U192">IFERROR(INDEX($C$2:$C$501,SMALL(IF($D$2:$D$501="France",ROW($D$2:$D$501)-1),ROW()-1)),"")</f>
        <v/>
      </c>
      <c r="V192" t="str" cm="1">
        <f t="array" ref="V192">IFERROR(INDEX($C$2:$C$501,SMALL(IF($D$2:$D$501="Germany",ROW($D$2:$D$501)-1),ROW()-1)),"")</f>
        <v/>
      </c>
      <c r="W192" t="str" cm="1">
        <f t="array" ref="W192">IFERROR(INDEX($C$2:$C$501,SMALL(IF($D$2:$D$501="Spain",ROW($D$2:$D$501)-1),ROW()-1)),"")</f>
        <v/>
      </c>
    </row>
    <row r="193" spans="1:23" x14ac:dyDescent="0.35">
      <c r="A193">
        <v>192</v>
      </c>
      <c r="B193" t="s">
        <v>15</v>
      </c>
      <c r="C193">
        <v>725</v>
      </c>
      <c r="D193" t="s">
        <v>24</v>
      </c>
      <c r="E193" t="s">
        <v>26</v>
      </c>
      <c r="F193">
        <v>39</v>
      </c>
      <c r="G193">
        <v>5</v>
      </c>
      <c r="H193">
        <v>96291.25</v>
      </c>
      <c r="I193">
        <v>1</v>
      </c>
      <c r="J193">
        <v>0</v>
      </c>
      <c r="K193">
        <v>0</v>
      </c>
      <c r="L193">
        <v>135564.73000000001</v>
      </c>
      <c r="M193">
        <v>0</v>
      </c>
      <c r="O193" t="str">
        <f t="shared" si="4"/>
        <v/>
      </c>
      <c r="P193">
        <f t="shared" si="5"/>
        <v>135564.73000000001</v>
      </c>
      <c r="R193">
        <f t="array" ref="R193">IFERROR(INDEX($L$2:$L$501,SMALL(IF($M$2:$M$501=1,ROW($M$2:$M$501)-1),ROW()-1)),"")</f>
        <v>50480.54</v>
      </c>
      <c r="S193" cm="1">
        <f t="array" ref="S193">IFERROR(INDEX($L$2:$L$501,SMALL(IF($M$2:$M$501=0,ROW($M$2:$M$501)-1),ROW()-1)),"")</f>
        <v>135558.76</v>
      </c>
      <c r="U193" t="str" cm="1">
        <f t="array" ref="U193">IFERROR(INDEX($C$2:$C$501,SMALL(IF($D$2:$D$501="France",ROW($D$2:$D$501)-1),ROW()-1)),"")</f>
        <v/>
      </c>
      <c r="V193" t="str" cm="1">
        <f t="array" ref="V193">IFERROR(INDEX($C$2:$C$501,SMALL(IF($D$2:$D$501="Germany",ROW($D$2:$D$501)-1),ROW()-1)),"")</f>
        <v/>
      </c>
      <c r="W193" t="str" cm="1">
        <f t="array" ref="W193">IFERROR(INDEX($C$2:$C$501,SMALL(IF($D$2:$D$501="Spain",ROW($D$2:$D$501)-1),ROW()-1)),"")</f>
        <v/>
      </c>
    </row>
    <row r="194" spans="1:23" x14ac:dyDescent="0.35">
      <c r="A194">
        <v>193</v>
      </c>
      <c r="B194" t="s">
        <v>13</v>
      </c>
      <c r="C194">
        <v>370</v>
      </c>
      <c r="D194" t="s">
        <v>24</v>
      </c>
      <c r="E194" t="s">
        <v>25</v>
      </c>
      <c r="F194">
        <v>24</v>
      </c>
      <c r="G194">
        <v>6</v>
      </c>
      <c r="H194">
        <v>38342.589999999997</v>
      </c>
      <c r="I194">
        <v>2</v>
      </c>
      <c r="J194">
        <v>0</v>
      </c>
      <c r="K194">
        <v>1</v>
      </c>
      <c r="L194">
        <v>18606.009999999998</v>
      </c>
      <c r="M194">
        <v>0</v>
      </c>
      <c r="O194" t="str">
        <f t="shared" si="4"/>
        <v/>
      </c>
      <c r="P194">
        <f t="shared" si="5"/>
        <v>18606.009999999998</v>
      </c>
      <c r="R194">
        <f t="array" ref="R194">IFERROR(INDEX($L$2:$L$501,SMALL(IF($M$2:$M$501=1,ROW($M$2:$M$501)-1),ROW()-1)),"")</f>
        <v>117465.12</v>
      </c>
      <c r="S194" cm="1">
        <f t="array" ref="S194">IFERROR(INDEX($L$2:$L$501,SMALL(IF($M$2:$M$501=0,ROW($M$2:$M$501)-1),ROW()-1)),"")</f>
        <v>117045.7</v>
      </c>
      <c r="U194" t="str" cm="1">
        <f t="array" ref="U194">IFERROR(INDEX($C$2:$C$501,SMALL(IF($D$2:$D$501="France",ROW($D$2:$D$501)-1),ROW()-1)),"")</f>
        <v/>
      </c>
      <c r="V194" t="str" cm="1">
        <f t="array" ref="V194">IFERROR(INDEX($C$2:$C$501,SMALL(IF($D$2:$D$501="Germany",ROW($D$2:$D$501)-1),ROW()-1)),"")</f>
        <v/>
      </c>
      <c r="W194" t="str" cm="1">
        <f t="array" ref="W194">IFERROR(INDEX($C$2:$C$501,SMALL(IF($D$2:$D$501="Spain",ROW($D$2:$D$501)-1),ROW()-1)),"")</f>
        <v/>
      </c>
    </row>
    <row r="195" spans="1:23" x14ac:dyDescent="0.35">
      <c r="A195">
        <v>194</v>
      </c>
      <c r="B195" t="s">
        <v>20</v>
      </c>
      <c r="C195">
        <v>558</v>
      </c>
      <c r="D195" t="s">
        <v>23</v>
      </c>
      <c r="E195" t="s">
        <v>25</v>
      </c>
      <c r="F195">
        <v>39</v>
      </c>
      <c r="G195">
        <v>9</v>
      </c>
      <c r="H195">
        <v>222626.19</v>
      </c>
      <c r="I195">
        <v>2</v>
      </c>
      <c r="J195">
        <v>0</v>
      </c>
      <c r="K195">
        <v>0</v>
      </c>
      <c r="L195">
        <v>59452.54</v>
      </c>
      <c r="M195">
        <v>1</v>
      </c>
      <c r="O195">
        <f t="shared" ref="O195:O258" si="6">IF($M195=1,$L195,"")</f>
        <v>59452.54</v>
      </c>
      <c r="P195" t="str">
        <f t="shared" ref="P195:P258" si="7">IF($M195=0,$L195,"")</f>
        <v/>
      </c>
      <c r="R195">
        <f t="array" ref="R195">IFERROR(INDEX($L$2:$L$501,SMALL(IF($M$2:$M$501=1,ROW($M$2:$M$501)-1),ROW()-1)),"")</f>
        <v>26370.52</v>
      </c>
      <c r="S195" cm="1">
        <f t="array" ref="S195">IFERROR(INDEX($L$2:$L$501,SMALL(IF($M$2:$M$501=0,ROW($M$2:$M$501)-1),ROW()-1)),"")</f>
        <v>131045.9</v>
      </c>
      <c r="U195" t="str" cm="1">
        <f t="array" ref="U195">IFERROR(INDEX($C$2:$C$501,SMALL(IF($D$2:$D$501="France",ROW($D$2:$D$501)-1),ROW()-1)),"")</f>
        <v/>
      </c>
      <c r="V195" t="str" cm="1">
        <f t="array" ref="V195">IFERROR(INDEX($C$2:$C$501,SMALL(IF($D$2:$D$501="Germany",ROW($D$2:$D$501)-1),ROW()-1)),"")</f>
        <v/>
      </c>
      <c r="W195" t="str" cm="1">
        <f t="array" ref="W195">IFERROR(INDEX($C$2:$C$501,SMALL(IF($D$2:$D$501="Spain",ROW($D$2:$D$501)-1),ROW()-1)),"")</f>
        <v/>
      </c>
    </row>
    <row r="196" spans="1:23" x14ac:dyDescent="0.35">
      <c r="A196">
        <v>195</v>
      </c>
      <c r="B196" t="s">
        <v>18</v>
      </c>
      <c r="C196">
        <v>392</v>
      </c>
      <c r="D196" t="s">
        <v>23</v>
      </c>
      <c r="E196" t="s">
        <v>25</v>
      </c>
      <c r="F196">
        <v>45</v>
      </c>
      <c r="G196">
        <v>9</v>
      </c>
      <c r="H196">
        <v>233110.85</v>
      </c>
      <c r="I196">
        <v>1</v>
      </c>
      <c r="J196">
        <v>0</v>
      </c>
      <c r="K196">
        <v>0</v>
      </c>
      <c r="L196">
        <v>72202.649999999994</v>
      </c>
      <c r="M196">
        <v>1</v>
      </c>
      <c r="O196">
        <f t="shared" si="6"/>
        <v>72202.649999999994</v>
      </c>
      <c r="P196" t="str">
        <f t="shared" si="7"/>
        <v/>
      </c>
      <c r="R196">
        <f t="array" ref="R196">IFERROR(INDEX($L$2:$L$501,SMALL(IF($M$2:$M$501=1,ROW($M$2:$M$501)-1),ROW()-1)),"")</f>
        <v>13741.1</v>
      </c>
      <c r="S196" cm="1">
        <f t="array" ref="S196">IFERROR(INDEX($L$2:$L$501,SMALL(IF($M$2:$M$501=0,ROW($M$2:$M$501)-1),ROW()-1)),"")</f>
        <v>90275.78</v>
      </c>
      <c r="U196" t="str" cm="1">
        <f t="array" ref="U196">IFERROR(INDEX($C$2:$C$501,SMALL(IF($D$2:$D$501="France",ROW($D$2:$D$501)-1),ROW()-1)),"")</f>
        <v/>
      </c>
      <c r="V196" t="str" cm="1">
        <f t="array" ref="V196">IFERROR(INDEX($C$2:$C$501,SMALL(IF($D$2:$D$501="Germany",ROW($D$2:$D$501)-1),ROW()-1)),"")</f>
        <v/>
      </c>
      <c r="W196" t="str" cm="1">
        <f t="array" ref="W196">IFERROR(INDEX($C$2:$C$501,SMALL(IF($D$2:$D$501="Spain",ROW($D$2:$D$501)-1),ROW()-1)),"")</f>
        <v/>
      </c>
    </row>
    <row r="197" spans="1:23" x14ac:dyDescent="0.35">
      <c r="A197">
        <v>196</v>
      </c>
      <c r="B197" t="s">
        <v>19</v>
      </c>
      <c r="C197">
        <v>848</v>
      </c>
      <c r="D197" t="s">
        <v>23</v>
      </c>
      <c r="E197" t="s">
        <v>26</v>
      </c>
      <c r="F197">
        <v>44</v>
      </c>
      <c r="G197">
        <v>3</v>
      </c>
      <c r="H197">
        <v>249802</v>
      </c>
      <c r="I197">
        <v>1</v>
      </c>
      <c r="J197">
        <v>1</v>
      </c>
      <c r="K197">
        <v>0</v>
      </c>
      <c r="L197">
        <v>139671.38</v>
      </c>
      <c r="M197">
        <v>1</v>
      </c>
      <c r="O197">
        <f t="shared" si="6"/>
        <v>139671.38</v>
      </c>
      <c r="P197" t="str">
        <f t="shared" si="7"/>
        <v/>
      </c>
      <c r="R197">
        <f t="array" ref="R197">IFERROR(INDEX($L$2:$L$501,SMALL(IF($M$2:$M$501=1,ROW($M$2:$M$501)-1),ROW()-1)),"")</f>
        <v>36418.230000000003</v>
      </c>
      <c r="S197" cm="1">
        <f t="array" ref="S197">IFERROR(INDEX($L$2:$L$501,SMALL(IF($M$2:$M$501=0,ROW($M$2:$M$501)-1),ROW()-1)),"")</f>
        <v>71091.44</v>
      </c>
      <c r="U197" t="str" cm="1">
        <f t="array" ref="U197">IFERROR(INDEX($C$2:$C$501,SMALL(IF($D$2:$D$501="France",ROW($D$2:$D$501)-1),ROW()-1)),"")</f>
        <v/>
      </c>
      <c r="V197" t="str" cm="1">
        <f t="array" ref="V197">IFERROR(INDEX($C$2:$C$501,SMALL(IF($D$2:$D$501="Germany",ROW($D$2:$D$501)-1),ROW()-1)),"")</f>
        <v/>
      </c>
      <c r="W197" t="str" cm="1">
        <f t="array" ref="W197">IFERROR(INDEX($C$2:$C$501,SMALL(IF($D$2:$D$501="Spain",ROW($D$2:$D$501)-1),ROW()-1)),"")</f>
        <v/>
      </c>
    </row>
    <row r="198" spans="1:23" x14ac:dyDescent="0.35">
      <c r="A198">
        <v>197</v>
      </c>
      <c r="B198" t="s">
        <v>12</v>
      </c>
      <c r="C198">
        <v>378</v>
      </c>
      <c r="D198" t="s">
        <v>23</v>
      </c>
      <c r="E198" t="s">
        <v>25</v>
      </c>
      <c r="F198">
        <v>82</v>
      </c>
      <c r="G198">
        <v>9</v>
      </c>
      <c r="H198">
        <v>59302.02</v>
      </c>
      <c r="I198">
        <v>2</v>
      </c>
      <c r="J198">
        <v>0</v>
      </c>
      <c r="K198">
        <v>1</v>
      </c>
      <c r="L198">
        <v>51011.37</v>
      </c>
      <c r="M198">
        <v>0</v>
      </c>
      <c r="O198" t="str">
        <f t="shared" si="6"/>
        <v/>
      </c>
      <c r="P198">
        <f t="shared" si="7"/>
        <v>51011.37</v>
      </c>
      <c r="R198">
        <f t="array" ref="R198">IFERROR(INDEX($L$2:$L$501,SMALL(IF($M$2:$M$501=1,ROW($M$2:$M$501)-1),ROW()-1)),"")</f>
        <v>37239.08</v>
      </c>
      <c r="S198" cm="1">
        <f t="array" ref="S198">IFERROR(INDEX($L$2:$L$501,SMALL(IF($M$2:$M$501=0,ROW($M$2:$M$501)-1),ROW()-1)),"")</f>
        <v>120900.9</v>
      </c>
      <c r="U198" t="str" cm="1">
        <f t="array" ref="U198">IFERROR(INDEX($C$2:$C$501,SMALL(IF($D$2:$D$501="France",ROW($D$2:$D$501)-1),ROW()-1)),"")</f>
        <v/>
      </c>
      <c r="V198" t="str" cm="1">
        <f t="array" ref="V198">IFERROR(INDEX($C$2:$C$501,SMALL(IF($D$2:$D$501="Germany",ROW($D$2:$D$501)-1),ROW()-1)),"")</f>
        <v/>
      </c>
      <c r="W198" t="str" cm="1">
        <f t="array" ref="W198">IFERROR(INDEX($C$2:$C$501,SMALL(IF($D$2:$D$501="Spain",ROW($D$2:$D$501)-1),ROW()-1)),"")</f>
        <v/>
      </c>
    </row>
    <row r="199" spans="1:23" x14ac:dyDescent="0.35">
      <c r="A199">
        <v>198</v>
      </c>
      <c r="B199" t="s">
        <v>20</v>
      </c>
      <c r="C199">
        <v>760</v>
      </c>
      <c r="D199" t="s">
        <v>24</v>
      </c>
      <c r="E199" t="s">
        <v>26</v>
      </c>
      <c r="F199">
        <v>21</v>
      </c>
      <c r="G199">
        <v>4</v>
      </c>
      <c r="H199">
        <v>17937.98</v>
      </c>
      <c r="I199">
        <v>1</v>
      </c>
      <c r="J199">
        <v>0</v>
      </c>
      <c r="K199">
        <v>0</v>
      </c>
      <c r="L199">
        <v>106372.6</v>
      </c>
      <c r="M199">
        <v>0</v>
      </c>
      <c r="O199" t="str">
        <f t="shared" si="6"/>
        <v/>
      </c>
      <c r="P199">
        <f t="shared" si="7"/>
        <v>106372.6</v>
      </c>
      <c r="R199">
        <f t="array" ref="R199">IFERROR(INDEX($L$2:$L$501,SMALL(IF($M$2:$M$501=1,ROW($M$2:$M$501)-1),ROW()-1)),"")</f>
        <v>139041.32999999999</v>
      </c>
      <c r="S199" cm="1">
        <f t="array" ref="S199">IFERROR(INDEX($L$2:$L$501,SMALL(IF($M$2:$M$501=0,ROW($M$2:$M$501)-1),ROW()-1)),"")</f>
        <v>99026.41</v>
      </c>
      <c r="U199" t="str" cm="1">
        <f t="array" ref="U199">IFERROR(INDEX($C$2:$C$501,SMALL(IF($D$2:$D$501="France",ROW($D$2:$D$501)-1),ROW()-1)),"")</f>
        <v/>
      </c>
      <c r="V199" t="str" cm="1">
        <f t="array" ref="V199">IFERROR(INDEX($C$2:$C$501,SMALL(IF($D$2:$D$501="Germany",ROW($D$2:$D$501)-1),ROW()-1)),"")</f>
        <v/>
      </c>
      <c r="W199" t="str" cm="1">
        <f t="array" ref="W199">IFERROR(INDEX($C$2:$C$501,SMALL(IF($D$2:$D$501="Spain",ROW($D$2:$D$501)-1),ROW()-1)),"")</f>
        <v/>
      </c>
    </row>
    <row r="200" spans="1:23" x14ac:dyDescent="0.35">
      <c r="A200">
        <v>199</v>
      </c>
      <c r="B200" t="s">
        <v>17</v>
      </c>
      <c r="C200">
        <v>693</v>
      </c>
      <c r="D200" t="s">
        <v>23</v>
      </c>
      <c r="E200" t="s">
        <v>25</v>
      </c>
      <c r="F200">
        <v>71</v>
      </c>
      <c r="G200">
        <v>2</v>
      </c>
      <c r="H200">
        <v>37093.39</v>
      </c>
      <c r="I200">
        <v>3</v>
      </c>
      <c r="J200">
        <v>1</v>
      </c>
      <c r="K200">
        <v>0</v>
      </c>
      <c r="L200">
        <v>40784.480000000003</v>
      </c>
      <c r="M200">
        <v>1</v>
      </c>
      <c r="O200">
        <f t="shared" si="6"/>
        <v>40784.480000000003</v>
      </c>
      <c r="P200" t="str">
        <f t="shared" si="7"/>
        <v/>
      </c>
      <c r="R200">
        <f t="array" ref="R200">IFERROR(INDEX($L$2:$L$501,SMALL(IF($M$2:$M$501=1,ROW($M$2:$M$501)-1),ROW()-1)),"")</f>
        <v>50215.32</v>
      </c>
      <c r="S200" cm="1">
        <f t="array" ref="S200">IFERROR(INDEX($L$2:$L$501,SMALL(IF($M$2:$M$501=0,ROW($M$2:$M$501)-1),ROW()-1)),"")</f>
        <v>63609.91</v>
      </c>
      <c r="U200" t="str" cm="1">
        <f t="array" ref="U200">IFERROR(INDEX($C$2:$C$501,SMALL(IF($D$2:$D$501="France",ROW($D$2:$D$501)-1),ROW()-1)),"")</f>
        <v/>
      </c>
      <c r="V200" t="str" cm="1">
        <f t="array" ref="V200">IFERROR(INDEX($C$2:$C$501,SMALL(IF($D$2:$D$501="Germany",ROW($D$2:$D$501)-1),ROW()-1)),"")</f>
        <v/>
      </c>
      <c r="W200" t="str" cm="1">
        <f t="array" ref="W200">IFERROR(INDEX($C$2:$C$501,SMALL(IF($D$2:$D$501="Spain",ROW($D$2:$D$501)-1),ROW()-1)),"")</f>
        <v/>
      </c>
    </row>
    <row r="201" spans="1:23" x14ac:dyDescent="0.35">
      <c r="A201">
        <v>200</v>
      </c>
      <c r="B201" t="s">
        <v>14</v>
      </c>
      <c r="C201">
        <v>530</v>
      </c>
      <c r="D201" t="s">
        <v>22</v>
      </c>
      <c r="E201" t="s">
        <v>25</v>
      </c>
      <c r="F201">
        <v>55</v>
      </c>
      <c r="G201">
        <v>1</v>
      </c>
      <c r="H201">
        <v>205216.41</v>
      </c>
      <c r="I201">
        <v>3</v>
      </c>
      <c r="J201">
        <v>0</v>
      </c>
      <c r="K201">
        <v>0</v>
      </c>
      <c r="L201">
        <v>95781.75</v>
      </c>
      <c r="M201">
        <v>1</v>
      </c>
      <c r="O201">
        <f t="shared" si="6"/>
        <v>95781.75</v>
      </c>
      <c r="P201" t="str">
        <f t="shared" si="7"/>
        <v/>
      </c>
      <c r="R201">
        <f t="array" ref="R201">IFERROR(INDEX($L$2:$L$501,SMALL(IF($M$2:$M$501=1,ROW($M$2:$M$501)-1),ROW()-1)),"")</f>
        <v>91193.31</v>
      </c>
      <c r="S201" cm="1">
        <f t="array" ref="S201">IFERROR(INDEX($L$2:$L$501,SMALL(IF($M$2:$M$501=0,ROW($M$2:$M$501)-1),ROW()-1)),"")</f>
        <v>84684</v>
      </c>
      <c r="U201" t="str" cm="1">
        <f t="array" ref="U201">IFERROR(INDEX($C$2:$C$501,SMALL(IF($D$2:$D$501="France",ROW($D$2:$D$501)-1),ROW()-1)),"")</f>
        <v/>
      </c>
      <c r="V201" t="str" cm="1">
        <f t="array" ref="V201">IFERROR(INDEX($C$2:$C$501,SMALL(IF($D$2:$D$501="Germany",ROW($D$2:$D$501)-1),ROW()-1)),"")</f>
        <v/>
      </c>
      <c r="W201" t="str" cm="1">
        <f t="array" ref="W201">IFERROR(INDEX($C$2:$C$501,SMALL(IF($D$2:$D$501="Spain",ROW($D$2:$D$501)-1),ROW()-1)),"")</f>
        <v/>
      </c>
    </row>
    <row r="202" spans="1:23" x14ac:dyDescent="0.35">
      <c r="A202">
        <v>201</v>
      </c>
      <c r="B202" t="s">
        <v>16</v>
      </c>
      <c r="C202">
        <v>654</v>
      </c>
      <c r="D202" t="s">
        <v>24</v>
      </c>
      <c r="E202" t="s">
        <v>26</v>
      </c>
      <c r="F202">
        <v>25</v>
      </c>
      <c r="G202">
        <v>6</v>
      </c>
      <c r="H202">
        <v>232419.55</v>
      </c>
      <c r="I202">
        <v>1</v>
      </c>
      <c r="J202">
        <v>1</v>
      </c>
      <c r="K202">
        <v>1</v>
      </c>
      <c r="L202">
        <v>25837.27</v>
      </c>
      <c r="M202">
        <v>1</v>
      </c>
      <c r="O202">
        <f t="shared" si="6"/>
        <v>25837.27</v>
      </c>
      <c r="P202" t="str">
        <f t="shared" si="7"/>
        <v/>
      </c>
      <c r="R202">
        <f t="array" ref="R202">IFERROR(INDEX($L$2:$L$501,SMALL(IF($M$2:$M$501=1,ROW($M$2:$M$501)-1),ROW()-1)),"")</f>
        <v>112863.73</v>
      </c>
      <c r="S202" cm="1">
        <f t="array" ref="S202">IFERROR(INDEX($L$2:$L$501,SMALL(IF($M$2:$M$501=0,ROW($M$2:$M$501)-1),ROW()-1)),"")</f>
        <v>107521.29</v>
      </c>
      <c r="U202" t="str" cm="1">
        <f t="array" ref="U202">IFERROR(INDEX($C$2:$C$501,SMALL(IF($D$2:$D$501="France",ROW($D$2:$D$501)-1),ROW()-1)),"")</f>
        <v/>
      </c>
      <c r="V202" t="str" cm="1">
        <f t="array" ref="V202">IFERROR(INDEX($C$2:$C$501,SMALL(IF($D$2:$D$501="Germany",ROW($D$2:$D$501)-1),ROW()-1)),"")</f>
        <v/>
      </c>
      <c r="W202" t="str" cm="1">
        <f t="array" ref="W202">IFERROR(INDEX($C$2:$C$501,SMALL(IF($D$2:$D$501="Spain",ROW($D$2:$D$501)-1),ROW()-1)),"")</f>
        <v/>
      </c>
    </row>
    <row r="203" spans="1:23" x14ac:dyDescent="0.35">
      <c r="A203">
        <v>202</v>
      </c>
      <c r="B203" t="s">
        <v>15</v>
      </c>
      <c r="C203">
        <v>800</v>
      </c>
      <c r="D203" t="s">
        <v>22</v>
      </c>
      <c r="E203" t="s">
        <v>25</v>
      </c>
      <c r="F203">
        <v>29</v>
      </c>
      <c r="G203">
        <v>0</v>
      </c>
      <c r="H203">
        <v>88974.52</v>
      </c>
      <c r="I203">
        <v>4</v>
      </c>
      <c r="J203">
        <v>1</v>
      </c>
      <c r="K203">
        <v>1</v>
      </c>
      <c r="L203">
        <v>115636.53</v>
      </c>
      <c r="M203">
        <v>0</v>
      </c>
      <c r="O203" t="str">
        <f t="shared" si="6"/>
        <v/>
      </c>
      <c r="P203">
        <f t="shared" si="7"/>
        <v>115636.53</v>
      </c>
      <c r="R203">
        <f t="array" ref="R203">IFERROR(INDEX($L$2:$L$501,SMALL(IF($M$2:$M$501=1,ROW($M$2:$M$501)-1),ROW()-1)),"")</f>
        <v>134929.35</v>
      </c>
      <c r="S203" cm="1">
        <f t="array" ref="S203">IFERROR(INDEX($L$2:$L$501,SMALL(IF($M$2:$M$501=0,ROW($M$2:$M$501)-1),ROW()-1)),"")</f>
        <v>52394</v>
      </c>
      <c r="U203" t="str" cm="1">
        <f t="array" ref="U203">IFERROR(INDEX($C$2:$C$501,SMALL(IF($D$2:$D$501="France",ROW($D$2:$D$501)-1),ROW()-1)),"")</f>
        <v/>
      </c>
      <c r="V203" t="str" cm="1">
        <f t="array" ref="V203">IFERROR(INDEX($C$2:$C$501,SMALL(IF($D$2:$D$501="Germany",ROW($D$2:$D$501)-1),ROW()-1)),"")</f>
        <v/>
      </c>
      <c r="W203" t="str" cm="1">
        <f t="array" ref="W203">IFERROR(INDEX($C$2:$C$501,SMALL(IF($D$2:$D$501="Spain",ROW($D$2:$D$501)-1),ROW()-1)),"")</f>
        <v/>
      </c>
    </row>
    <row r="204" spans="1:23" x14ac:dyDescent="0.35">
      <c r="A204">
        <v>203</v>
      </c>
      <c r="B204" t="s">
        <v>12</v>
      </c>
      <c r="C204">
        <v>452</v>
      </c>
      <c r="D204" t="s">
        <v>23</v>
      </c>
      <c r="E204" t="s">
        <v>25</v>
      </c>
      <c r="F204">
        <v>20</v>
      </c>
      <c r="G204">
        <v>2</v>
      </c>
      <c r="H204">
        <v>240624.04</v>
      </c>
      <c r="I204">
        <v>3</v>
      </c>
      <c r="J204">
        <v>0</v>
      </c>
      <c r="K204">
        <v>0</v>
      </c>
      <c r="L204">
        <v>16236.92</v>
      </c>
      <c r="M204">
        <v>1</v>
      </c>
      <c r="O204">
        <f t="shared" si="6"/>
        <v>16236.92</v>
      </c>
      <c r="P204" t="str">
        <f t="shared" si="7"/>
        <v/>
      </c>
      <c r="R204">
        <f t="array" ref="R204">IFERROR(INDEX($L$2:$L$501,SMALL(IF($M$2:$M$501=1,ROW($M$2:$M$501)-1),ROW()-1)),"")</f>
        <v>119298.33</v>
      </c>
      <c r="S204" cm="1">
        <f t="array" ref="S204">IFERROR(INDEX($L$2:$L$501,SMALL(IF($M$2:$M$501=0,ROW($M$2:$M$501)-1),ROW()-1)),"")</f>
        <v>88360.27</v>
      </c>
      <c r="U204" t="str" cm="1">
        <f t="array" ref="U204">IFERROR(INDEX($C$2:$C$501,SMALL(IF($D$2:$D$501="France",ROW($D$2:$D$501)-1),ROW()-1)),"")</f>
        <v/>
      </c>
      <c r="V204" t="str" cm="1">
        <f t="array" ref="V204">IFERROR(INDEX($C$2:$C$501,SMALL(IF($D$2:$D$501="Germany",ROW($D$2:$D$501)-1),ROW()-1)),"")</f>
        <v/>
      </c>
      <c r="W204" t="str" cm="1">
        <f t="array" ref="W204">IFERROR(INDEX($C$2:$C$501,SMALL(IF($D$2:$D$501="Spain",ROW($D$2:$D$501)-1),ROW()-1)),"")</f>
        <v/>
      </c>
    </row>
    <row r="205" spans="1:23" x14ac:dyDescent="0.35">
      <c r="A205">
        <v>204</v>
      </c>
      <c r="B205" t="s">
        <v>14</v>
      </c>
      <c r="C205">
        <v>615</v>
      </c>
      <c r="D205" t="s">
        <v>24</v>
      </c>
      <c r="E205" t="s">
        <v>26</v>
      </c>
      <c r="F205">
        <v>72</v>
      </c>
      <c r="G205">
        <v>6</v>
      </c>
      <c r="H205">
        <v>199237.9</v>
      </c>
      <c r="I205">
        <v>2</v>
      </c>
      <c r="J205">
        <v>0</v>
      </c>
      <c r="K205">
        <v>0</v>
      </c>
      <c r="L205">
        <v>149768.04999999999</v>
      </c>
      <c r="M205">
        <v>1</v>
      </c>
      <c r="O205">
        <f t="shared" si="6"/>
        <v>149768.04999999999</v>
      </c>
      <c r="P205" t="str">
        <f t="shared" si="7"/>
        <v/>
      </c>
      <c r="R205">
        <f t="array" ref="R205">IFERROR(INDEX($L$2:$L$501,SMALL(IF($M$2:$M$501=1,ROW($M$2:$M$501)-1),ROW()-1)),"")</f>
        <v>111705.43</v>
      </c>
      <c r="S205" cm="1">
        <f t="array" ref="S205">IFERROR(INDEX($L$2:$L$501,SMALL(IF($M$2:$M$501=0,ROW($M$2:$M$501)-1),ROW()-1)),"")</f>
        <v>46958.37</v>
      </c>
      <c r="U205" t="str" cm="1">
        <f t="array" ref="U205">IFERROR(INDEX($C$2:$C$501,SMALL(IF($D$2:$D$501="France",ROW($D$2:$D$501)-1),ROW()-1)),"")</f>
        <v/>
      </c>
      <c r="V205" t="str" cm="1">
        <f t="array" ref="V205">IFERROR(INDEX($C$2:$C$501,SMALL(IF($D$2:$D$501="Germany",ROW($D$2:$D$501)-1),ROW()-1)),"")</f>
        <v/>
      </c>
      <c r="W205" t="str" cm="1">
        <f t="array" ref="W205">IFERROR(INDEX($C$2:$C$501,SMALL(IF($D$2:$D$501="Spain",ROW($D$2:$D$501)-1),ROW()-1)),"")</f>
        <v/>
      </c>
    </row>
    <row r="206" spans="1:23" x14ac:dyDescent="0.35">
      <c r="A206">
        <v>205</v>
      </c>
      <c r="B206" t="s">
        <v>18</v>
      </c>
      <c r="C206">
        <v>608</v>
      </c>
      <c r="D206" t="s">
        <v>22</v>
      </c>
      <c r="E206" t="s">
        <v>26</v>
      </c>
      <c r="F206">
        <v>23</v>
      </c>
      <c r="G206">
        <v>3</v>
      </c>
      <c r="H206">
        <v>88373.18</v>
      </c>
      <c r="I206">
        <v>1</v>
      </c>
      <c r="J206">
        <v>0</v>
      </c>
      <c r="K206">
        <v>0</v>
      </c>
      <c r="L206">
        <v>122196.71</v>
      </c>
      <c r="M206">
        <v>0</v>
      </c>
      <c r="O206" t="str">
        <f t="shared" si="6"/>
        <v/>
      </c>
      <c r="P206">
        <f t="shared" si="7"/>
        <v>122196.71</v>
      </c>
      <c r="R206">
        <f t="array" ref="R206">IFERROR(INDEX($L$2:$L$501,SMALL(IF($M$2:$M$501=1,ROW($M$2:$M$501)-1),ROW()-1)),"")</f>
        <v>103883.72</v>
      </c>
      <c r="S206" cm="1">
        <f t="array" ref="S206">IFERROR(INDEX($L$2:$L$501,SMALL(IF($M$2:$M$501=0,ROW($M$2:$M$501)-1),ROW()-1)),"")</f>
        <v>141964.46</v>
      </c>
      <c r="U206" t="str" cm="1">
        <f t="array" ref="U206">IFERROR(INDEX($C$2:$C$501,SMALL(IF($D$2:$D$501="France",ROW($D$2:$D$501)-1),ROW()-1)),"")</f>
        <v/>
      </c>
      <c r="V206" t="str" cm="1">
        <f t="array" ref="V206">IFERROR(INDEX($C$2:$C$501,SMALL(IF($D$2:$D$501="Germany",ROW($D$2:$D$501)-1),ROW()-1)),"")</f>
        <v/>
      </c>
      <c r="W206" t="str" cm="1">
        <f t="array" ref="W206">IFERROR(INDEX($C$2:$C$501,SMALL(IF($D$2:$D$501="Spain",ROW($D$2:$D$501)-1),ROW()-1)),"")</f>
        <v/>
      </c>
    </row>
    <row r="207" spans="1:23" x14ac:dyDescent="0.35">
      <c r="A207">
        <v>206</v>
      </c>
      <c r="B207" t="s">
        <v>12</v>
      </c>
      <c r="C207">
        <v>722</v>
      </c>
      <c r="D207" t="s">
        <v>24</v>
      </c>
      <c r="E207" t="s">
        <v>25</v>
      </c>
      <c r="F207">
        <v>35</v>
      </c>
      <c r="G207">
        <v>7</v>
      </c>
      <c r="H207">
        <v>212738.23</v>
      </c>
      <c r="I207">
        <v>4</v>
      </c>
      <c r="J207">
        <v>1</v>
      </c>
      <c r="K207">
        <v>1</v>
      </c>
      <c r="L207">
        <v>95777.53</v>
      </c>
      <c r="M207">
        <v>1</v>
      </c>
      <c r="O207">
        <f t="shared" si="6"/>
        <v>95777.53</v>
      </c>
      <c r="P207" t="str">
        <f t="shared" si="7"/>
        <v/>
      </c>
      <c r="R207">
        <f t="array" ref="R207">IFERROR(INDEX($L$2:$L$501,SMALL(IF($M$2:$M$501=1,ROW($M$2:$M$501)-1),ROW()-1)),"")</f>
        <v>82707.83</v>
      </c>
      <c r="S207" cm="1">
        <f t="array" ref="S207">IFERROR(INDEX($L$2:$L$501,SMALL(IF($M$2:$M$501=0,ROW($M$2:$M$501)-1),ROW()-1)),"")</f>
        <v>111640.94</v>
      </c>
      <c r="U207" t="str" cm="1">
        <f t="array" ref="U207">IFERROR(INDEX($C$2:$C$501,SMALL(IF($D$2:$D$501="France",ROW($D$2:$D$501)-1),ROW()-1)),"")</f>
        <v/>
      </c>
      <c r="V207" t="str" cm="1">
        <f t="array" ref="V207">IFERROR(INDEX($C$2:$C$501,SMALL(IF($D$2:$D$501="Germany",ROW($D$2:$D$501)-1),ROW()-1)),"")</f>
        <v/>
      </c>
      <c r="W207" t="str" cm="1">
        <f t="array" ref="W207">IFERROR(INDEX($C$2:$C$501,SMALL(IF($D$2:$D$501="Spain",ROW($D$2:$D$501)-1),ROW()-1)),"")</f>
        <v/>
      </c>
    </row>
    <row r="208" spans="1:23" x14ac:dyDescent="0.35">
      <c r="A208">
        <v>207</v>
      </c>
      <c r="B208" t="s">
        <v>14</v>
      </c>
      <c r="C208">
        <v>714</v>
      </c>
      <c r="D208" t="s">
        <v>22</v>
      </c>
      <c r="E208" t="s">
        <v>25</v>
      </c>
      <c r="F208">
        <v>23</v>
      </c>
      <c r="G208">
        <v>5</v>
      </c>
      <c r="H208">
        <v>160251.42000000001</v>
      </c>
      <c r="I208">
        <v>3</v>
      </c>
      <c r="J208">
        <v>1</v>
      </c>
      <c r="K208">
        <v>0</v>
      </c>
      <c r="L208">
        <v>117590.06</v>
      </c>
      <c r="M208">
        <v>1</v>
      </c>
      <c r="O208">
        <f t="shared" si="6"/>
        <v>117590.06</v>
      </c>
      <c r="P208" t="str">
        <f t="shared" si="7"/>
        <v/>
      </c>
      <c r="R208">
        <f t="array" ref="R208">IFERROR(INDEX($L$2:$L$501,SMALL(IF($M$2:$M$501=1,ROW($M$2:$M$501)-1),ROW()-1)),"")</f>
        <v>128261.18</v>
      </c>
      <c r="S208" cm="1">
        <f t="array" ref="S208">IFERROR(INDEX($L$2:$L$501,SMALL(IF($M$2:$M$501=0,ROW($M$2:$M$501)-1),ROW()-1)),"")</f>
        <v>132228.18</v>
      </c>
      <c r="U208" t="str" cm="1">
        <f t="array" ref="U208">IFERROR(INDEX($C$2:$C$501,SMALL(IF($D$2:$D$501="France",ROW($D$2:$D$501)-1),ROW()-1)),"")</f>
        <v/>
      </c>
      <c r="V208" t="str" cm="1">
        <f t="array" ref="V208">IFERROR(INDEX($C$2:$C$501,SMALL(IF($D$2:$D$501="Germany",ROW($D$2:$D$501)-1),ROW()-1)),"")</f>
        <v/>
      </c>
      <c r="W208" t="str" cm="1">
        <f t="array" ref="W208">IFERROR(INDEX($C$2:$C$501,SMALL(IF($D$2:$D$501="Spain",ROW($D$2:$D$501)-1),ROW()-1)),"")</f>
        <v/>
      </c>
    </row>
    <row r="209" spans="1:23" x14ac:dyDescent="0.35">
      <c r="A209">
        <v>208</v>
      </c>
      <c r="B209" t="s">
        <v>14</v>
      </c>
      <c r="C209">
        <v>583</v>
      </c>
      <c r="D209" t="s">
        <v>24</v>
      </c>
      <c r="E209" t="s">
        <v>26</v>
      </c>
      <c r="F209">
        <v>48</v>
      </c>
      <c r="G209">
        <v>10</v>
      </c>
      <c r="H209">
        <v>111620.9</v>
      </c>
      <c r="I209">
        <v>1</v>
      </c>
      <c r="J209">
        <v>1</v>
      </c>
      <c r="K209">
        <v>1</v>
      </c>
      <c r="L209">
        <v>10423.709999999999</v>
      </c>
      <c r="M209">
        <v>1</v>
      </c>
      <c r="O209">
        <f t="shared" si="6"/>
        <v>10423.709999999999</v>
      </c>
      <c r="P209" t="str">
        <f t="shared" si="7"/>
        <v/>
      </c>
      <c r="R209">
        <f t="array" ref="R209">IFERROR(INDEX($L$2:$L$501,SMALL(IF($M$2:$M$501=1,ROW($M$2:$M$501)-1),ROW()-1)),"")</f>
        <v>73777.070000000007</v>
      </c>
      <c r="S209" cm="1">
        <f t="array" ref="S209">IFERROR(INDEX($L$2:$L$501,SMALL(IF($M$2:$M$501=0,ROW($M$2:$M$501)-1),ROW()-1)),"")</f>
        <v>57395.97</v>
      </c>
      <c r="U209" t="str" cm="1">
        <f t="array" ref="U209">IFERROR(INDEX($C$2:$C$501,SMALL(IF($D$2:$D$501="France",ROW($D$2:$D$501)-1),ROW()-1)),"")</f>
        <v/>
      </c>
      <c r="V209" t="str" cm="1">
        <f t="array" ref="V209">IFERROR(INDEX($C$2:$C$501,SMALL(IF($D$2:$D$501="Germany",ROW($D$2:$D$501)-1),ROW()-1)),"")</f>
        <v/>
      </c>
      <c r="W209" t="str" cm="1">
        <f t="array" ref="W209">IFERROR(INDEX($C$2:$C$501,SMALL(IF($D$2:$D$501="Spain",ROW($D$2:$D$501)-1),ROW()-1)),"")</f>
        <v/>
      </c>
    </row>
    <row r="210" spans="1:23" x14ac:dyDescent="0.35">
      <c r="A210">
        <v>209</v>
      </c>
      <c r="B210" t="s">
        <v>15</v>
      </c>
      <c r="C210">
        <v>695</v>
      </c>
      <c r="D210" t="s">
        <v>22</v>
      </c>
      <c r="E210" t="s">
        <v>26</v>
      </c>
      <c r="F210">
        <v>21</v>
      </c>
      <c r="G210">
        <v>10</v>
      </c>
      <c r="H210">
        <v>112981.4</v>
      </c>
      <c r="I210">
        <v>4</v>
      </c>
      <c r="J210">
        <v>0</v>
      </c>
      <c r="K210">
        <v>1</v>
      </c>
      <c r="L210">
        <v>69975.320000000007</v>
      </c>
      <c r="M210">
        <v>0</v>
      </c>
      <c r="O210" t="str">
        <f t="shared" si="6"/>
        <v/>
      </c>
      <c r="P210">
        <f t="shared" si="7"/>
        <v>69975.320000000007</v>
      </c>
      <c r="R210">
        <f t="array" ref="R210">IFERROR(INDEX($L$2:$L$501,SMALL(IF($M$2:$M$501=1,ROW($M$2:$M$501)-1),ROW()-1)),"")</f>
        <v>35799.879999999997</v>
      </c>
      <c r="S210" cm="1">
        <f t="array" ref="S210">IFERROR(INDEX($L$2:$L$501,SMALL(IF($M$2:$M$501=0,ROW($M$2:$M$501)-1),ROW()-1)),"")</f>
        <v>118614.97</v>
      </c>
      <c r="U210" t="str" cm="1">
        <f t="array" ref="U210">IFERROR(INDEX($C$2:$C$501,SMALL(IF($D$2:$D$501="France",ROW($D$2:$D$501)-1),ROW()-1)),"")</f>
        <v/>
      </c>
      <c r="V210" t="str" cm="1">
        <f t="array" ref="V210">IFERROR(INDEX($C$2:$C$501,SMALL(IF($D$2:$D$501="Germany",ROW($D$2:$D$501)-1),ROW()-1)),"")</f>
        <v/>
      </c>
      <c r="W210" t="str" cm="1">
        <f t="array" ref="W210">IFERROR(INDEX($C$2:$C$501,SMALL(IF($D$2:$D$501="Spain",ROW($D$2:$D$501)-1),ROW()-1)),"")</f>
        <v/>
      </c>
    </row>
    <row r="211" spans="1:23" x14ac:dyDescent="0.35">
      <c r="A211">
        <v>210</v>
      </c>
      <c r="B211" t="s">
        <v>16</v>
      </c>
      <c r="C211">
        <v>730</v>
      </c>
      <c r="D211" t="s">
        <v>22</v>
      </c>
      <c r="E211" t="s">
        <v>26</v>
      </c>
      <c r="F211">
        <v>18</v>
      </c>
      <c r="G211">
        <v>2</v>
      </c>
      <c r="H211">
        <v>240529.94</v>
      </c>
      <c r="I211">
        <v>3</v>
      </c>
      <c r="J211">
        <v>1</v>
      </c>
      <c r="K211">
        <v>0</v>
      </c>
      <c r="L211">
        <v>93107.1</v>
      </c>
      <c r="M211">
        <v>0</v>
      </c>
      <c r="O211" t="str">
        <f t="shared" si="6"/>
        <v/>
      </c>
      <c r="P211">
        <f t="shared" si="7"/>
        <v>93107.1</v>
      </c>
      <c r="R211">
        <f t="array" ref="R211">IFERROR(INDEX($L$2:$L$501,SMALL(IF($M$2:$M$501=1,ROW($M$2:$M$501)-1),ROW()-1)),"")</f>
        <v>97218.44</v>
      </c>
      <c r="S211" cm="1">
        <f t="array" ref="S211">IFERROR(INDEX($L$2:$L$501,SMALL(IF($M$2:$M$501=0,ROW($M$2:$M$501)-1),ROW()-1)),"")</f>
        <v>101660.52</v>
      </c>
      <c r="U211" t="str" cm="1">
        <f t="array" ref="U211">IFERROR(INDEX($C$2:$C$501,SMALL(IF($D$2:$D$501="France",ROW($D$2:$D$501)-1),ROW()-1)),"")</f>
        <v/>
      </c>
      <c r="V211" t="str" cm="1">
        <f t="array" ref="V211">IFERROR(INDEX($C$2:$C$501,SMALL(IF($D$2:$D$501="Germany",ROW($D$2:$D$501)-1),ROW()-1)),"")</f>
        <v/>
      </c>
      <c r="W211" t="str" cm="1">
        <f t="array" ref="W211">IFERROR(INDEX($C$2:$C$501,SMALL(IF($D$2:$D$501="Spain",ROW($D$2:$D$501)-1),ROW()-1)),"")</f>
        <v/>
      </c>
    </row>
    <row r="212" spans="1:23" x14ac:dyDescent="0.35">
      <c r="A212">
        <v>211</v>
      </c>
      <c r="B212" t="s">
        <v>16</v>
      </c>
      <c r="C212">
        <v>723</v>
      </c>
      <c r="D212" t="s">
        <v>22</v>
      </c>
      <c r="E212" t="s">
        <v>26</v>
      </c>
      <c r="F212">
        <v>62</v>
      </c>
      <c r="G212">
        <v>6</v>
      </c>
      <c r="H212">
        <v>73255.710000000006</v>
      </c>
      <c r="I212">
        <v>1</v>
      </c>
      <c r="J212">
        <v>1</v>
      </c>
      <c r="K212">
        <v>0</v>
      </c>
      <c r="L212">
        <v>146668.19</v>
      </c>
      <c r="M212">
        <v>0</v>
      </c>
      <c r="O212" t="str">
        <f t="shared" si="6"/>
        <v/>
      </c>
      <c r="P212">
        <f t="shared" si="7"/>
        <v>146668.19</v>
      </c>
      <c r="R212">
        <f t="array" ref="R212">IFERROR(INDEX($L$2:$L$501,SMALL(IF($M$2:$M$501=1,ROW($M$2:$M$501)-1),ROW()-1)),"")</f>
        <v>99695.37</v>
      </c>
      <c r="S212" cm="1">
        <f t="array" ref="S212">IFERROR(INDEX($L$2:$L$501,SMALL(IF($M$2:$M$501=0,ROW($M$2:$M$501)-1),ROW()-1)),"")</f>
        <v>50254.16</v>
      </c>
      <c r="U212" t="str" cm="1">
        <f t="array" ref="U212">IFERROR(INDEX($C$2:$C$501,SMALL(IF($D$2:$D$501="France",ROW($D$2:$D$501)-1),ROW()-1)),"")</f>
        <v/>
      </c>
      <c r="V212" t="str" cm="1">
        <f t="array" ref="V212">IFERROR(INDEX($C$2:$C$501,SMALL(IF($D$2:$D$501="Germany",ROW($D$2:$D$501)-1),ROW()-1)),"")</f>
        <v/>
      </c>
      <c r="W212" t="str" cm="1">
        <f t="array" ref="W212">IFERROR(INDEX($C$2:$C$501,SMALL(IF($D$2:$D$501="Spain",ROW($D$2:$D$501)-1),ROW()-1)),"")</f>
        <v/>
      </c>
    </row>
    <row r="213" spans="1:23" x14ac:dyDescent="0.35">
      <c r="A213">
        <v>212</v>
      </c>
      <c r="B213" t="s">
        <v>16</v>
      </c>
      <c r="C213">
        <v>450</v>
      </c>
      <c r="D213" t="s">
        <v>24</v>
      </c>
      <c r="E213" t="s">
        <v>25</v>
      </c>
      <c r="F213">
        <v>62</v>
      </c>
      <c r="G213">
        <v>6</v>
      </c>
      <c r="H213">
        <v>167423.71</v>
      </c>
      <c r="I213">
        <v>4</v>
      </c>
      <c r="J213">
        <v>0</v>
      </c>
      <c r="K213">
        <v>1</v>
      </c>
      <c r="L213">
        <v>61220.89</v>
      </c>
      <c r="M213">
        <v>1</v>
      </c>
      <c r="O213">
        <f t="shared" si="6"/>
        <v>61220.89</v>
      </c>
      <c r="P213" t="str">
        <f t="shared" si="7"/>
        <v/>
      </c>
      <c r="R213">
        <f t="array" ref="R213">IFERROR(INDEX($L$2:$L$501,SMALL(IF($M$2:$M$501=1,ROW($M$2:$M$501)-1),ROW()-1)),"")</f>
        <v>61207.9</v>
      </c>
      <c r="S213" cm="1">
        <f t="array" ref="S213">IFERROR(INDEX($L$2:$L$501,SMALL(IF($M$2:$M$501=0,ROW($M$2:$M$501)-1),ROW()-1)),"")</f>
        <v>62313.56</v>
      </c>
      <c r="U213" t="str" cm="1">
        <f t="array" ref="U213">IFERROR(INDEX($C$2:$C$501,SMALL(IF($D$2:$D$501="France",ROW($D$2:$D$501)-1),ROW()-1)),"")</f>
        <v/>
      </c>
      <c r="V213" t="str" cm="1">
        <f t="array" ref="V213">IFERROR(INDEX($C$2:$C$501,SMALL(IF($D$2:$D$501="Germany",ROW($D$2:$D$501)-1),ROW()-1)),"")</f>
        <v/>
      </c>
      <c r="W213" t="str" cm="1">
        <f t="array" ref="W213">IFERROR(INDEX($C$2:$C$501,SMALL(IF($D$2:$D$501="Spain",ROW($D$2:$D$501)-1),ROW()-1)),"")</f>
        <v/>
      </c>
    </row>
    <row r="214" spans="1:23" x14ac:dyDescent="0.35">
      <c r="A214">
        <v>213</v>
      </c>
      <c r="B214" t="s">
        <v>15</v>
      </c>
      <c r="C214">
        <v>440</v>
      </c>
      <c r="D214" t="s">
        <v>22</v>
      </c>
      <c r="E214" t="s">
        <v>25</v>
      </c>
      <c r="F214">
        <v>79</v>
      </c>
      <c r="G214">
        <v>10</v>
      </c>
      <c r="H214">
        <v>201052.55</v>
      </c>
      <c r="I214">
        <v>2</v>
      </c>
      <c r="J214">
        <v>0</v>
      </c>
      <c r="K214">
        <v>0</v>
      </c>
      <c r="L214">
        <v>145868.74</v>
      </c>
      <c r="M214">
        <v>0</v>
      </c>
      <c r="O214" t="str">
        <f t="shared" si="6"/>
        <v/>
      </c>
      <c r="P214">
        <f t="shared" si="7"/>
        <v>145868.74</v>
      </c>
      <c r="R214">
        <f t="array" ref="R214">IFERROR(INDEX($L$2:$L$501,SMALL(IF($M$2:$M$501=1,ROW($M$2:$M$501)-1),ROW()-1)),"")</f>
        <v>69952.509999999995</v>
      </c>
      <c r="S214" cm="1">
        <f t="array" ref="S214">IFERROR(INDEX($L$2:$L$501,SMALL(IF($M$2:$M$501=0,ROW($M$2:$M$501)-1),ROW()-1)),"")</f>
        <v>64833.38</v>
      </c>
      <c r="U214" t="str" cm="1">
        <f t="array" ref="U214">IFERROR(INDEX($C$2:$C$501,SMALL(IF($D$2:$D$501="France",ROW($D$2:$D$501)-1),ROW()-1)),"")</f>
        <v/>
      </c>
      <c r="V214" t="str" cm="1">
        <f t="array" ref="V214">IFERROR(INDEX($C$2:$C$501,SMALL(IF($D$2:$D$501="Germany",ROW($D$2:$D$501)-1),ROW()-1)),"")</f>
        <v/>
      </c>
      <c r="W214" t="str" cm="1">
        <f t="array" ref="W214">IFERROR(INDEX($C$2:$C$501,SMALL(IF($D$2:$D$501="Spain",ROW($D$2:$D$501)-1),ROW()-1)),"")</f>
        <v/>
      </c>
    </row>
    <row r="215" spans="1:23" x14ac:dyDescent="0.35">
      <c r="A215">
        <v>214</v>
      </c>
      <c r="B215" t="s">
        <v>14</v>
      </c>
      <c r="C215">
        <v>418</v>
      </c>
      <c r="D215" t="s">
        <v>22</v>
      </c>
      <c r="E215" t="s">
        <v>26</v>
      </c>
      <c r="F215">
        <v>18</v>
      </c>
      <c r="G215">
        <v>1</v>
      </c>
      <c r="H215">
        <v>96345.86</v>
      </c>
      <c r="I215">
        <v>4</v>
      </c>
      <c r="J215">
        <v>1</v>
      </c>
      <c r="K215">
        <v>0</v>
      </c>
      <c r="L215">
        <v>82176.899999999994</v>
      </c>
      <c r="M215">
        <v>0</v>
      </c>
      <c r="O215" t="str">
        <f t="shared" si="6"/>
        <v/>
      </c>
      <c r="P215">
        <f t="shared" si="7"/>
        <v>82176.899999999994</v>
      </c>
      <c r="R215">
        <f t="array" ref="R215">IFERROR(INDEX($L$2:$L$501,SMALL(IF($M$2:$M$501=1,ROW($M$2:$M$501)-1),ROW()-1)),"")</f>
        <v>97693.26</v>
      </c>
      <c r="S215" cm="1">
        <f t="array" ref="S215">IFERROR(INDEX($L$2:$L$501,SMALL(IF($M$2:$M$501=0,ROW($M$2:$M$501)-1),ROW()-1)),"")</f>
        <v>76895.64</v>
      </c>
      <c r="U215" t="str" cm="1">
        <f t="array" ref="U215">IFERROR(INDEX($C$2:$C$501,SMALL(IF($D$2:$D$501="France",ROW($D$2:$D$501)-1),ROW()-1)),"")</f>
        <v/>
      </c>
      <c r="V215" t="str" cm="1">
        <f t="array" ref="V215">IFERROR(INDEX($C$2:$C$501,SMALL(IF($D$2:$D$501="Germany",ROW($D$2:$D$501)-1),ROW()-1)),"")</f>
        <v/>
      </c>
      <c r="W215" t="str" cm="1">
        <f t="array" ref="W215">IFERROR(INDEX($C$2:$C$501,SMALL(IF($D$2:$D$501="Spain",ROW($D$2:$D$501)-1),ROW()-1)),"")</f>
        <v/>
      </c>
    </row>
    <row r="216" spans="1:23" x14ac:dyDescent="0.35">
      <c r="A216">
        <v>215</v>
      </c>
      <c r="B216" t="s">
        <v>17</v>
      </c>
      <c r="C216">
        <v>455</v>
      </c>
      <c r="D216" t="s">
        <v>23</v>
      </c>
      <c r="E216" t="s">
        <v>25</v>
      </c>
      <c r="F216">
        <v>35</v>
      </c>
      <c r="G216">
        <v>9</v>
      </c>
      <c r="H216">
        <v>116072.5</v>
      </c>
      <c r="I216">
        <v>4</v>
      </c>
      <c r="J216">
        <v>0</v>
      </c>
      <c r="K216">
        <v>0</v>
      </c>
      <c r="L216">
        <v>19713.43</v>
      </c>
      <c r="M216">
        <v>0</v>
      </c>
      <c r="O216" t="str">
        <f t="shared" si="6"/>
        <v/>
      </c>
      <c r="P216">
        <f t="shared" si="7"/>
        <v>19713.43</v>
      </c>
      <c r="R216">
        <f t="array" ref="R216">IFERROR(INDEX($L$2:$L$501,SMALL(IF($M$2:$M$501=1,ROW($M$2:$M$501)-1),ROW()-1)),"")</f>
        <v>71242.42</v>
      </c>
      <c r="S216" cm="1">
        <f t="array" ref="S216">IFERROR(INDEX($L$2:$L$501,SMALL(IF($M$2:$M$501=0,ROW($M$2:$M$501)-1),ROW()-1)),"")</f>
        <v>146557.31</v>
      </c>
      <c r="U216" t="str" cm="1">
        <f t="array" ref="U216">IFERROR(INDEX($C$2:$C$501,SMALL(IF($D$2:$D$501="France",ROW($D$2:$D$501)-1),ROW()-1)),"")</f>
        <v/>
      </c>
      <c r="V216" t="str" cm="1">
        <f t="array" ref="V216">IFERROR(INDEX($C$2:$C$501,SMALL(IF($D$2:$D$501="Germany",ROW($D$2:$D$501)-1),ROW()-1)),"")</f>
        <v/>
      </c>
      <c r="W216" t="str" cm="1">
        <f t="array" ref="W216">IFERROR(INDEX($C$2:$C$501,SMALL(IF($D$2:$D$501="Spain",ROW($D$2:$D$501)-1),ROW()-1)),"")</f>
        <v/>
      </c>
    </row>
    <row r="217" spans="1:23" x14ac:dyDescent="0.35">
      <c r="A217">
        <v>216</v>
      </c>
      <c r="B217" t="s">
        <v>14</v>
      </c>
      <c r="C217">
        <v>360</v>
      </c>
      <c r="D217" t="s">
        <v>22</v>
      </c>
      <c r="E217" t="s">
        <v>26</v>
      </c>
      <c r="F217">
        <v>47</v>
      </c>
      <c r="G217">
        <v>10</v>
      </c>
      <c r="H217">
        <v>160567.84</v>
      </c>
      <c r="I217">
        <v>2</v>
      </c>
      <c r="J217">
        <v>1</v>
      </c>
      <c r="K217">
        <v>0</v>
      </c>
      <c r="L217">
        <v>96310.13</v>
      </c>
      <c r="M217">
        <v>1</v>
      </c>
      <c r="O217">
        <f t="shared" si="6"/>
        <v>96310.13</v>
      </c>
      <c r="P217" t="str">
        <f t="shared" si="7"/>
        <v/>
      </c>
      <c r="R217">
        <f t="array" ref="R217">IFERROR(INDEX($L$2:$L$501,SMALL(IF($M$2:$M$501=1,ROW($M$2:$M$501)-1),ROW()-1)),"")</f>
        <v>76217.14</v>
      </c>
      <c r="S217" cm="1">
        <f t="array" ref="S217">IFERROR(INDEX($L$2:$L$501,SMALL(IF($M$2:$M$501=0,ROW($M$2:$M$501)-1),ROW()-1)),"")</f>
        <v>124013.91</v>
      </c>
      <c r="U217" t="str" cm="1">
        <f t="array" ref="U217">IFERROR(INDEX($C$2:$C$501,SMALL(IF($D$2:$D$501="France",ROW($D$2:$D$501)-1),ROW()-1)),"")</f>
        <v/>
      </c>
      <c r="V217" t="str" cm="1">
        <f t="array" ref="V217">IFERROR(INDEX($C$2:$C$501,SMALL(IF($D$2:$D$501="Germany",ROW($D$2:$D$501)-1),ROW()-1)),"")</f>
        <v/>
      </c>
      <c r="W217" t="str" cm="1">
        <f t="array" ref="W217">IFERROR(INDEX($C$2:$C$501,SMALL(IF($D$2:$D$501="Spain",ROW($D$2:$D$501)-1),ROW()-1)),"")</f>
        <v/>
      </c>
    </row>
    <row r="218" spans="1:23" x14ac:dyDescent="0.35">
      <c r="A218">
        <v>217</v>
      </c>
      <c r="B218" t="s">
        <v>16</v>
      </c>
      <c r="C218">
        <v>362</v>
      </c>
      <c r="D218" t="s">
        <v>23</v>
      </c>
      <c r="E218" t="s">
        <v>26</v>
      </c>
      <c r="F218">
        <v>52</v>
      </c>
      <c r="G218">
        <v>0</v>
      </c>
      <c r="H218">
        <v>146945.31</v>
      </c>
      <c r="I218">
        <v>4</v>
      </c>
      <c r="J218">
        <v>1</v>
      </c>
      <c r="K218">
        <v>0</v>
      </c>
      <c r="L218">
        <v>125091.68</v>
      </c>
      <c r="M218">
        <v>0</v>
      </c>
      <c r="O218" t="str">
        <f t="shared" si="6"/>
        <v/>
      </c>
      <c r="P218">
        <f t="shared" si="7"/>
        <v>125091.68</v>
      </c>
      <c r="R218">
        <f t="array" ref="R218">IFERROR(INDEX($L$2:$L$501,SMALL(IF($M$2:$M$501=1,ROW($M$2:$M$501)-1),ROW()-1)),"")</f>
        <v>84471.69</v>
      </c>
      <c r="S218" cm="1">
        <f t="array" ref="S218">IFERROR(INDEX($L$2:$L$501,SMALL(IF($M$2:$M$501=0,ROW($M$2:$M$501)-1),ROW()-1)),"")</f>
        <v>58513.24</v>
      </c>
      <c r="U218" t="str" cm="1">
        <f t="array" ref="U218">IFERROR(INDEX($C$2:$C$501,SMALL(IF($D$2:$D$501="France",ROW($D$2:$D$501)-1),ROW()-1)),"")</f>
        <v/>
      </c>
      <c r="V218" t="str" cm="1">
        <f t="array" ref="V218">IFERROR(INDEX($C$2:$C$501,SMALL(IF($D$2:$D$501="Germany",ROW($D$2:$D$501)-1),ROW()-1)),"")</f>
        <v/>
      </c>
      <c r="W218" t="str" cm="1">
        <f t="array" ref="W218">IFERROR(INDEX($C$2:$C$501,SMALL(IF($D$2:$D$501="Spain",ROW($D$2:$D$501)-1),ROW()-1)),"")</f>
        <v/>
      </c>
    </row>
    <row r="219" spans="1:23" x14ac:dyDescent="0.35">
      <c r="A219">
        <v>218</v>
      </c>
      <c r="B219" t="s">
        <v>15</v>
      </c>
      <c r="C219">
        <v>454</v>
      </c>
      <c r="D219" t="s">
        <v>24</v>
      </c>
      <c r="E219" t="s">
        <v>25</v>
      </c>
      <c r="F219">
        <v>77</v>
      </c>
      <c r="G219">
        <v>1</v>
      </c>
      <c r="H219">
        <v>183306.47</v>
      </c>
      <c r="I219">
        <v>1</v>
      </c>
      <c r="J219">
        <v>1</v>
      </c>
      <c r="K219">
        <v>1</v>
      </c>
      <c r="L219">
        <v>134198.82999999999</v>
      </c>
      <c r="M219">
        <v>1</v>
      </c>
      <c r="O219">
        <f t="shared" si="6"/>
        <v>134198.82999999999</v>
      </c>
      <c r="P219" t="str">
        <f t="shared" si="7"/>
        <v/>
      </c>
      <c r="R219">
        <f t="array" ref="R219">IFERROR(INDEX($L$2:$L$501,SMALL(IF($M$2:$M$501=1,ROW($M$2:$M$501)-1),ROW()-1)),"")</f>
        <v>55636.3</v>
      </c>
      <c r="S219" cm="1">
        <f t="array" ref="S219">IFERROR(INDEX($L$2:$L$501,SMALL(IF($M$2:$M$501=0,ROW($M$2:$M$501)-1),ROW()-1)),"")</f>
        <v>100372.28</v>
      </c>
      <c r="U219" t="str" cm="1">
        <f t="array" ref="U219">IFERROR(INDEX($C$2:$C$501,SMALL(IF($D$2:$D$501="France",ROW($D$2:$D$501)-1),ROW()-1)),"")</f>
        <v/>
      </c>
      <c r="V219" t="str" cm="1">
        <f t="array" ref="V219">IFERROR(INDEX($C$2:$C$501,SMALL(IF($D$2:$D$501="Germany",ROW($D$2:$D$501)-1),ROW()-1)),"")</f>
        <v/>
      </c>
      <c r="W219" t="str" cm="1">
        <f t="array" ref="W219">IFERROR(INDEX($C$2:$C$501,SMALL(IF($D$2:$D$501="Spain",ROW($D$2:$D$501)-1),ROW()-1)),"")</f>
        <v/>
      </c>
    </row>
    <row r="220" spans="1:23" x14ac:dyDescent="0.35">
      <c r="A220">
        <v>219</v>
      </c>
      <c r="B220" t="s">
        <v>15</v>
      </c>
      <c r="C220">
        <v>575</v>
      </c>
      <c r="D220" t="s">
        <v>22</v>
      </c>
      <c r="E220" t="s">
        <v>26</v>
      </c>
      <c r="F220">
        <v>39</v>
      </c>
      <c r="G220">
        <v>3</v>
      </c>
      <c r="H220">
        <v>213911.63</v>
      </c>
      <c r="I220">
        <v>3</v>
      </c>
      <c r="J220">
        <v>0</v>
      </c>
      <c r="K220">
        <v>1</v>
      </c>
      <c r="L220">
        <v>84036.97</v>
      </c>
      <c r="M220">
        <v>1</v>
      </c>
      <c r="O220">
        <f t="shared" si="6"/>
        <v>84036.97</v>
      </c>
      <c r="P220" t="str">
        <f t="shared" si="7"/>
        <v/>
      </c>
      <c r="R220">
        <f t="array" ref="R220">IFERROR(INDEX($L$2:$L$501,SMALL(IF($M$2:$M$501=1,ROW($M$2:$M$501)-1),ROW()-1)),"")</f>
        <v>35708.43</v>
      </c>
      <c r="S220" cm="1">
        <f t="array" ref="S220">IFERROR(INDEX($L$2:$L$501,SMALL(IF($M$2:$M$501=0,ROW($M$2:$M$501)-1),ROW()-1)),"")</f>
        <v>55627.46</v>
      </c>
      <c r="U220" t="str" cm="1">
        <f t="array" ref="U220">IFERROR(INDEX($C$2:$C$501,SMALL(IF($D$2:$D$501="France",ROW($D$2:$D$501)-1),ROW()-1)),"")</f>
        <v/>
      </c>
      <c r="V220" t="str" cm="1">
        <f t="array" ref="V220">IFERROR(INDEX($C$2:$C$501,SMALL(IF($D$2:$D$501="Germany",ROW($D$2:$D$501)-1),ROW()-1)),"")</f>
        <v/>
      </c>
      <c r="W220" t="str" cm="1">
        <f t="array" ref="W220">IFERROR(INDEX($C$2:$C$501,SMALL(IF($D$2:$D$501="Spain",ROW($D$2:$D$501)-1),ROW()-1)),"")</f>
        <v/>
      </c>
    </row>
    <row r="221" spans="1:23" x14ac:dyDescent="0.35">
      <c r="A221">
        <v>220</v>
      </c>
      <c r="B221" t="s">
        <v>12</v>
      </c>
      <c r="C221">
        <v>771</v>
      </c>
      <c r="D221" t="s">
        <v>24</v>
      </c>
      <c r="E221" t="s">
        <v>26</v>
      </c>
      <c r="F221">
        <v>81</v>
      </c>
      <c r="G221">
        <v>3</v>
      </c>
      <c r="H221">
        <v>135435.82999999999</v>
      </c>
      <c r="I221">
        <v>3</v>
      </c>
      <c r="J221">
        <v>0</v>
      </c>
      <c r="K221">
        <v>1</v>
      </c>
      <c r="L221">
        <v>72274.3</v>
      </c>
      <c r="M221">
        <v>0</v>
      </c>
      <c r="O221" t="str">
        <f t="shared" si="6"/>
        <v/>
      </c>
      <c r="P221">
        <f t="shared" si="7"/>
        <v>72274.3</v>
      </c>
      <c r="R221">
        <f t="array" ref="R221">IFERROR(INDEX($L$2:$L$501,SMALL(IF($M$2:$M$501=1,ROW($M$2:$M$501)-1),ROW()-1)),"")</f>
        <v>67984.02</v>
      </c>
      <c r="S221" cm="1">
        <f t="array" ref="S221">IFERROR(INDEX($L$2:$L$501,SMALL(IF($M$2:$M$501=0,ROW($M$2:$M$501)-1),ROW()-1)),"")</f>
        <v>37534.69</v>
      </c>
      <c r="U221" t="str" cm="1">
        <f t="array" ref="U221">IFERROR(INDEX($C$2:$C$501,SMALL(IF($D$2:$D$501="France",ROW($D$2:$D$501)-1),ROW()-1)),"")</f>
        <v/>
      </c>
      <c r="V221" t="str" cm="1">
        <f t="array" ref="V221">IFERROR(INDEX($C$2:$C$501,SMALL(IF($D$2:$D$501="Germany",ROW($D$2:$D$501)-1),ROW()-1)),"")</f>
        <v/>
      </c>
      <c r="W221" t="str" cm="1">
        <f t="array" ref="W221">IFERROR(INDEX($C$2:$C$501,SMALL(IF($D$2:$D$501="Spain",ROW($D$2:$D$501)-1),ROW()-1)),"")</f>
        <v/>
      </c>
    </row>
    <row r="222" spans="1:23" x14ac:dyDescent="0.35">
      <c r="A222">
        <v>221</v>
      </c>
      <c r="B222" t="s">
        <v>21</v>
      </c>
      <c r="C222">
        <v>517</v>
      </c>
      <c r="D222" t="s">
        <v>23</v>
      </c>
      <c r="E222" t="s">
        <v>25</v>
      </c>
      <c r="F222">
        <v>35</v>
      </c>
      <c r="G222">
        <v>1</v>
      </c>
      <c r="H222">
        <v>239854.9</v>
      </c>
      <c r="I222">
        <v>1</v>
      </c>
      <c r="J222">
        <v>1</v>
      </c>
      <c r="K222">
        <v>1</v>
      </c>
      <c r="L222">
        <v>99332.87</v>
      </c>
      <c r="M222">
        <v>0</v>
      </c>
      <c r="O222" t="str">
        <f t="shared" si="6"/>
        <v/>
      </c>
      <c r="P222">
        <f t="shared" si="7"/>
        <v>99332.87</v>
      </c>
      <c r="R222">
        <f t="array" ref="R222">IFERROR(INDEX($L$2:$L$501,SMALL(IF($M$2:$M$501=1,ROW($M$2:$M$501)-1),ROW()-1)),"")</f>
        <v>87532.67</v>
      </c>
      <c r="S222" cm="1">
        <f t="array" ref="S222">IFERROR(INDEX($L$2:$L$501,SMALL(IF($M$2:$M$501=0,ROW($M$2:$M$501)-1),ROW()-1)),"")</f>
        <v>91069.46</v>
      </c>
      <c r="U222" t="str" cm="1">
        <f t="array" ref="U222">IFERROR(INDEX($C$2:$C$501,SMALL(IF($D$2:$D$501="France",ROW($D$2:$D$501)-1),ROW()-1)),"")</f>
        <v/>
      </c>
      <c r="V222" t="str" cm="1">
        <f t="array" ref="V222">IFERROR(INDEX($C$2:$C$501,SMALL(IF($D$2:$D$501="Germany",ROW($D$2:$D$501)-1),ROW()-1)),"")</f>
        <v/>
      </c>
      <c r="W222" t="str" cm="1">
        <f t="array" ref="W222">IFERROR(INDEX($C$2:$C$501,SMALL(IF($D$2:$D$501="Spain",ROW($D$2:$D$501)-1),ROW()-1)),"")</f>
        <v/>
      </c>
    </row>
    <row r="223" spans="1:23" x14ac:dyDescent="0.35">
      <c r="A223">
        <v>222</v>
      </c>
      <c r="B223" t="s">
        <v>17</v>
      </c>
      <c r="C223">
        <v>766</v>
      </c>
      <c r="D223" t="s">
        <v>23</v>
      </c>
      <c r="E223" t="s">
        <v>25</v>
      </c>
      <c r="F223">
        <v>56</v>
      </c>
      <c r="G223">
        <v>3</v>
      </c>
      <c r="H223">
        <v>70283.899999999994</v>
      </c>
      <c r="I223">
        <v>3</v>
      </c>
      <c r="J223">
        <v>1</v>
      </c>
      <c r="K223">
        <v>0</v>
      </c>
      <c r="L223">
        <v>18737.27</v>
      </c>
      <c r="M223">
        <v>0</v>
      </c>
      <c r="O223" t="str">
        <f t="shared" si="6"/>
        <v/>
      </c>
      <c r="P223">
        <f t="shared" si="7"/>
        <v>18737.27</v>
      </c>
      <c r="R223">
        <f t="array" ref="R223">IFERROR(INDEX($L$2:$L$501,SMALL(IF($M$2:$M$501=1,ROW($M$2:$M$501)-1),ROW()-1)),"")</f>
        <v>56454.41</v>
      </c>
      <c r="S223" cm="1">
        <f t="array" ref="S223">IFERROR(INDEX($L$2:$L$501,SMALL(IF($M$2:$M$501=0,ROW($M$2:$M$501)-1),ROW()-1)),"")</f>
        <v>105135.87</v>
      </c>
      <c r="U223" t="str" cm="1">
        <f t="array" ref="U223">IFERROR(INDEX($C$2:$C$501,SMALL(IF($D$2:$D$501="France",ROW($D$2:$D$501)-1),ROW()-1)),"")</f>
        <v/>
      </c>
      <c r="V223" t="str" cm="1">
        <f t="array" ref="V223">IFERROR(INDEX($C$2:$C$501,SMALL(IF($D$2:$D$501="Germany",ROW($D$2:$D$501)-1),ROW()-1)),"")</f>
        <v/>
      </c>
      <c r="W223" t="str" cm="1">
        <f t="array" ref="W223">IFERROR(INDEX($C$2:$C$501,SMALL(IF($D$2:$D$501="Spain",ROW($D$2:$D$501)-1),ROW()-1)),"")</f>
        <v/>
      </c>
    </row>
    <row r="224" spans="1:23" x14ac:dyDescent="0.35">
      <c r="A224">
        <v>223</v>
      </c>
      <c r="B224" t="s">
        <v>17</v>
      </c>
      <c r="C224">
        <v>728</v>
      </c>
      <c r="D224" t="s">
        <v>24</v>
      </c>
      <c r="E224" t="s">
        <v>26</v>
      </c>
      <c r="F224">
        <v>19</v>
      </c>
      <c r="G224">
        <v>4</v>
      </c>
      <c r="H224">
        <v>16689.2</v>
      </c>
      <c r="I224">
        <v>3</v>
      </c>
      <c r="J224">
        <v>1</v>
      </c>
      <c r="K224">
        <v>1</v>
      </c>
      <c r="L224">
        <v>141842.12</v>
      </c>
      <c r="M224">
        <v>1</v>
      </c>
      <c r="O224">
        <f t="shared" si="6"/>
        <v>141842.12</v>
      </c>
      <c r="P224" t="str">
        <f t="shared" si="7"/>
        <v/>
      </c>
      <c r="R224">
        <f t="array" ref="R224">IFERROR(INDEX($L$2:$L$501,SMALL(IF($M$2:$M$501=1,ROW($M$2:$M$501)-1),ROW()-1)),"")</f>
        <v>125590.02</v>
      </c>
      <c r="S224" cm="1">
        <f t="array" ref="S224">IFERROR(INDEX($L$2:$L$501,SMALL(IF($M$2:$M$501=0,ROW($M$2:$M$501)-1),ROW()-1)),"")</f>
        <v>125551.64</v>
      </c>
      <c r="U224" t="str" cm="1">
        <f t="array" ref="U224">IFERROR(INDEX($C$2:$C$501,SMALL(IF($D$2:$D$501="France",ROW($D$2:$D$501)-1),ROW()-1)),"")</f>
        <v/>
      </c>
      <c r="V224" t="str" cm="1">
        <f t="array" ref="V224">IFERROR(INDEX($C$2:$C$501,SMALL(IF($D$2:$D$501="Germany",ROW($D$2:$D$501)-1),ROW()-1)),"")</f>
        <v/>
      </c>
      <c r="W224" t="str" cm="1">
        <f t="array" ref="W224">IFERROR(INDEX($C$2:$C$501,SMALL(IF($D$2:$D$501="Spain",ROW($D$2:$D$501)-1),ROW()-1)),"")</f>
        <v/>
      </c>
    </row>
    <row r="225" spans="1:23" x14ac:dyDescent="0.35">
      <c r="A225">
        <v>224</v>
      </c>
      <c r="B225" t="s">
        <v>20</v>
      </c>
      <c r="C225">
        <v>639</v>
      </c>
      <c r="D225" t="s">
        <v>22</v>
      </c>
      <c r="E225" t="s">
        <v>25</v>
      </c>
      <c r="F225">
        <v>33</v>
      </c>
      <c r="G225">
        <v>3</v>
      </c>
      <c r="H225">
        <v>96088.43</v>
      </c>
      <c r="I225">
        <v>1</v>
      </c>
      <c r="J225">
        <v>1</v>
      </c>
      <c r="K225">
        <v>0</v>
      </c>
      <c r="L225">
        <v>43587.17</v>
      </c>
      <c r="M225">
        <v>0</v>
      </c>
      <c r="O225" t="str">
        <f t="shared" si="6"/>
        <v/>
      </c>
      <c r="P225">
        <f t="shared" si="7"/>
        <v>43587.17</v>
      </c>
      <c r="R225">
        <f t="array" ref="R225">IFERROR(INDEX($L$2:$L$501,SMALL(IF($M$2:$M$501=1,ROW($M$2:$M$501)-1),ROW()-1)),"")</f>
        <v>52816.7</v>
      </c>
      <c r="S225" cm="1">
        <f t="array" ref="S225">IFERROR(INDEX($L$2:$L$501,SMALL(IF($M$2:$M$501=0,ROW($M$2:$M$501)-1),ROW()-1)),"")</f>
        <v>39633.65</v>
      </c>
      <c r="U225" t="str" cm="1">
        <f t="array" ref="U225">IFERROR(INDEX($C$2:$C$501,SMALL(IF($D$2:$D$501="France",ROW($D$2:$D$501)-1),ROW()-1)),"")</f>
        <v/>
      </c>
      <c r="V225" t="str" cm="1">
        <f t="array" ref="V225">IFERROR(INDEX($C$2:$C$501,SMALL(IF($D$2:$D$501="Germany",ROW($D$2:$D$501)-1),ROW()-1)),"")</f>
        <v/>
      </c>
      <c r="W225" t="str" cm="1">
        <f t="array" ref="W225">IFERROR(INDEX($C$2:$C$501,SMALL(IF($D$2:$D$501="Spain",ROW($D$2:$D$501)-1),ROW()-1)),"")</f>
        <v/>
      </c>
    </row>
    <row r="226" spans="1:23" x14ac:dyDescent="0.35">
      <c r="A226">
        <v>225</v>
      </c>
      <c r="B226" t="s">
        <v>21</v>
      </c>
      <c r="C226">
        <v>760</v>
      </c>
      <c r="D226" t="s">
        <v>24</v>
      </c>
      <c r="E226" t="s">
        <v>25</v>
      </c>
      <c r="F226">
        <v>35</v>
      </c>
      <c r="G226">
        <v>9</v>
      </c>
      <c r="H226">
        <v>241023.24</v>
      </c>
      <c r="I226">
        <v>4</v>
      </c>
      <c r="J226">
        <v>0</v>
      </c>
      <c r="K226">
        <v>0</v>
      </c>
      <c r="L226">
        <v>97832.3</v>
      </c>
      <c r="M226">
        <v>0</v>
      </c>
      <c r="O226" t="str">
        <f t="shared" si="6"/>
        <v/>
      </c>
      <c r="P226">
        <f t="shared" si="7"/>
        <v>97832.3</v>
      </c>
      <c r="R226">
        <f t="array" ref="R226">IFERROR(INDEX($L$2:$L$501,SMALL(IF($M$2:$M$501=1,ROW($M$2:$M$501)-1),ROW()-1)),"")</f>
        <v>58389.15</v>
      </c>
      <c r="S226" cm="1">
        <f t="array" ref="S226">IFERROR(INDEX($L$2:$L$501,SMALL(IF($M$2:$M$501=0,ROW($M$2:$M$501)-1),ROW()-1)),"")</f>
        <v>136772.28</v>
      </c>
      <c r="U226" t="str" cm="1">
        <f t="array" ref="U226">IFERROR(INDEX($C$2:$C$501,SMALL(IF($D$2:$D$501="France",ROW($D$2:$D$501)-1),ROW()-1)),"")</f>
        <v/>
      </c>
      <c r="V226" t="str" cm="1">
        <f t="array" ref="V226">IFERROR(INDEX($C$2:$C$501,SMALL(IF($D$2:$D$501="Germany",ROW($D$2:$D$501)-1),ROW()-1)),"")</f>
        <v/>
      </c>
      <c r="W226" t="str" cm="1">
        <f t="array" ref="W226">IFERROR(INDEX($C$2:$C$501,SMALL(IF($D$2:$D$501="Spain",ROW($D$2:$D$501)-1),ROW()-1)),"")</f>
        <v/>
      </c>
    </row>
    <row r="227" spans="1:23" x14ac:dyDescent="0.35">
      <c r="A227">
        <v>226</v>
      </c>
      <c r="B227" t="s">
        <v>12</v>
      </c>
      <c r="C227">
        <v>449</v>
      </c>
      <c r="D227" t="s">
        <v>23</v>
      </c>
      <c r="E227" t="s">
        <v>25</v>
      </c>
      <c r="F227">
        <v>71</v>
      </c>
      <c r="G227">
        <v>9</v>
      </c>
      <c r="H227">
        <v>190983.34</v>
      </c>
      <c r="I227">
        <v>3</v>
      </c>
      <c r="J227">
        <v>0</v>
      </c>
      <c r="K227">
        <v>1</v>
      </c>
      <c r="L227">
        <v>94496.24</v>
      </c>
      <c r="M227">
        <v>0</v>
      </c>
      <c r="O227" t="str">
        <f t="shared" si="6"/>
        <v/>
      </c>
      <c r="P227">
        <f t="shared" si="7"/>
        <v>94496.24</v>
      </c>
      <c r="R227">
        <f t="array" ref="R227">IFERROR(INDEX($L$2:$L$501,SMALL(IF($M$2:$M$501=1,ROW($M$2:$M$501)-1),ROW()-1)),"")</f>
        <v>148498.85</v>
      </c>
      <c r="S227" cm="1">
        <f t="array" ref="S227">IFERROR(INDEX($L$2:$L$501,SMALL(IF($M$2:$M$501=0,ROW($M$2:$M$501)-1),ROW()-1)),"")</f>
        <v>131084.15</v>
      </c>
      <c r="U227" t="str" cm="1">
        <f t="array" ref="U227">IFERROR(INDEX($C$2:$C$501,SMALL(IF($D$2:$D$501="France",ROW($D$2:$D$501)-1),ROW()-1)),"")</f>
        <v/>
      </c>
      <c r="V227" t="str" cm="1">
        <f t="array" ref="V227">IFERROR(INDEX($C$2:$C$501,SMALL(IF($D$2:$D$501="Germany",ROW($D$2:$D$501)-1),ROW()-1)),"")</f>
        <v/>
      </c>
      <c r="W227" t="str" cm="1">
        <f t="array" ref="W227">IFERROR(INDEX($C$2:$C$501,SMALL(IF($D$2:$D$501="Spain",ROW($D$2:$D$501)-1),ROW()-1)),"")</f>
        <v/>
      </c>
    </row>
    <row r="228" spans="1:23" x14ac:dyDescent="0.35">
      <c r="A228">
        <v>227</v>
      </c>
      <c r="B228" t="s">
        <v>20</v>
      </c>
      <c r="C228">
        <v>567</v>
      </c>
      <c r="D228" t="s">
        <v>23</v>
      </c>
      <c r="E228" t="s">
        <v>25</v>
      </c>
      <c r="F228">
        <v>40</v>
      </c>
      <c r="G228">
        <v>5</v>
      </c>
      <c r="H228">
        <v>49223</v>
      </c>
      <c r="I228">
        <v>2</v>
      </c>
      <c r="J228">
        <v>0</v>
      </c>
      <c r="K228">
        <v>1</v>
      </c>
      <c r="L228">
        <v>111037.23</v>
      </c>
      <c r="M228">
        <v>0</v>
      </c>
      <c r="O228" t="str">
        <f t="shared" si="6"/>
        <v/>
      </c>
      <c r="P228">
        <f t="shared" si="7"/>
        <v>111037.23</v>
      </c>
      <c r="R228">
        <f t="array" ref="R228">IFERROR(INDEX($L$2:$L$501,SMALL(IF($M$2:$M$501=1,ROW($M$2:$M$501)-1),ROW()-1)),"")</f>
        <v>102614.36</v>
      </c>
      <c r="S228" cm="1">
        <f t="array" ref="S228">IFERROR(INDEX($L$2:$L$501,SMALL(IF($M$2:$M$501=0,ROW($M$2:$M$501)-1),ROW()-1)),"")</f>
        <v>11580.61</v>
      </c>
      <c r="U228" t="str" cm="1">
        <f t="array" ref="U228">IFERROR(INDEX($C$2:$C$501,SMALL(IF($D$2:$D$501="France",ROW($D$2:$D$501)-1),ROW()-1)),"")</f>
        <v/>
      </c>
      <c r="V228" t="str" cm="1">
        <f t="array" ref="V228">IFERROR(INDEX($C$2:$C$501,SMALL(IF($D$2:$D$501="Germany",ROW($D$2:$D$501)-1),ROW()-1)),"")</f>
        <v/>
      </c>
      <c r="W228" t="str" cm="1">
        <f t="array" ref="W228">IFERROR(INDEX($C$2:$C$501,SMALL(IF($D$2:$D$501="Spain",ROW($D$2:$D$501)-1),ROW()-1)),"")</f>
        <v/>
      </c>
    </row>
    <row r="229" spans="1:23" x14ac:dyDescent="0.35">
      <c r="A229">
        <v>228</v>
      </c>
      <c r="B229" t="s">
        <v>18</v>
      </c>
      <c r="C229">
        <v>656</v>
      </c>
      <c r="D229" t="s">
        <v>22</v>
      </c>
      <c r="E229" t="s">
        <v>25</v>
      </c>
      <c r="F229">
        <v>65</v>
      </c>
      <c r="G229">
        <v>6</v>
      </c>
      <c r="H229">
        <v>244926.41</v>
      </c>
      <c r="I229">
        <v>3</v>
      </c>
      <c r="J229">
        <v>0</v>
      </c>
      <c r="K229">
        <v>1</v>
      </c>
      <c r="L229">
        <v>129494.46</v>
      </c>
      <c r="M229">
        <v>1</v>
      </c>
      <c r="O229">
        <f t="shared" si="6"/>
        <v>129494.46</v>
      </c>
      <c r="P229" t="str">
        <f t="shared" si="7"/>
        <v/>
      </c>
      <c r="R229">
        <f t="array" ref="R229">IFERROR(INDEX($L$2:$L$501,SMALL(IF($M$2:$M$501=1,ROW($M$2:$M$501)-1),ROW()-1)),"")</f>
        <v>67354.759999999995</v>
      </c>
      <c r="S229" cm="1">
        <f t="array" ref="S229">IFERROR(INDEX($L$2:$L$501,SMALL(IF($M$2:$M$501=0,ROW($M$2:$M$501)-1),ROW()-1)),"")</f>
        <v>148752.49</v>
      </c>
      <c r="U229" t="str" cm="1">
        <f t="array" ref="U229">IFERROR(INDEX($C$2:$C$501,SMALL(IF($D$2:$D$501="France",ROW($D$2:$D$501)-1),ROW()-1)),"")</f>
        <v/>
      </c>
      <c r="V229" t="str" cm="1">
        <f t="array" ref="V229">IFERROR(INDEX($C$2:$C$501,SMALL(IF($D$2:$D$501="Germany",ROW($D$2:$D$501)-1),ROW()-1)),"")</f>
        <v/>
      </c>
      <c r="W229" t="str" cm="1">
        <f t="array" ref="W229">IFERROR(INDEX($C$2:$C$501,SMALL(IF($D$2:$D$501="Spain",ROW($D$2:$D$501)-1),ROW()-1)),"")</f>
        <v/>
      </c>
    </row>
    <row r="230" spans="1:23" x14ac:dyDescent="0.35">
      <c r="A230">
        <v>229</v>
      </c>
      <c r="B230" t="s">
        <v>13</v>
      </c>
      <c r="C230">
        <v>694</v>
      </c>
      <c r="D230" t="s">
        <v>23</v>
      </c>
      <c r="E230" t="s">
        <v>25</v>
      </c>
      <c r="F230">
        <v>84</v>
      </c>
      <c r="G230">
        <v>8</v>
      </c>
      <c r="H230">
        <v>175604.34</v>
      </c>
      <c r="I230">
        <v>4</v>
      </c>
      <c r="J230">
        <v>0</v>
      </c>
      <c r="K230">
        <v>1</v>
      </c>
      <c r="L230">
        <v>45375.97</v>
      </c>
      <c r="M230">
        <v>1</v>
      </c>
      <c r="O230">
        <f t="shared" si="6"/>
        <v>45375.97</v>
      </c>
      <c r="P230" t="str">
        <f t="shared" si="7"/>
        <v/>
      </c>
      <c r="R230">
        <f t="array" ref="R230">IFERROR(INDEX($L$2:$L$501,SMALL(IF($M$2:$M$501=1,ROW($M$2:$M$501)-1),ROW()-1)),"")</f>
        <v>32556.34</v>
      </c>
      <c r="S230" t="str" cm="1">
        <f t="array" ref="S230">IFERROR(INDEX($L$2:$L$501,SMALL(IF($M$2:$M$501=0,ROW($M$2:$M$501)-1),ROW()-1)),"")</f>
        <v/>
      </c>
      <c r="U230" t="str" cm="1">
        <f t="array" ref="U230">IFERROR(INDEX($C$2:$C$501,SMALL(IF($D$2:$D$501="France",ROW($D$2:$D$501)-1),ROW()-1)),"")</f>
        <v/>
      </c>
      <c r="V230" t="str" cm="1">
        <f t="array" ref="V230">IFERROR(INDEX($C$2:$C$501,SMALL(IF($D$2:$D$501="Germany",ROW($D$2:$D$501)-1),ROW()-1)),"")</f>
        <v/>
      </c>
      <c r="W230" t="str" cm="1">
        <f t="array" ref="W230">IFERROR(INDEX($C$2:$C$501,SMALL(IF($D$2:$D$501="Spain",ROW($D$2:$D$501)-1),ROW()-1)),"")</f>
        <v/>
      </c>
    </row>
    <row r="231" spans="1:23" x14ac:dyDescent="0.35">
      <c r="A231">
        <v>230</v>
      </c>
      <c r="B231" t="s">
        <v>17</v>
      </c>
      <c r="C231">
        <v>560</v>
      </c>
      <c r="D231" t="s">
        <v>22</v>
      </c>
      <c r="E231" t="s">
        <v>26</v>
      </c>
      <c r="F231">
        <v>29</v>
      </c>
      <c r="G231">
        <v>10</v>
      </c>
      <c r="H231">
        <v>199808.98</v>
      </c>
      <c r="I231">
        <v>1</v>
      </c>
      <c r="J231">
        <v>1</v>
      </c>
      <c r="K231">
        <v>1</v>
      </c>
      <c r="L231">
        <v>38969.33</v>
      </c>
      <c r="M231">
        <v>1</v>
      </c>
      <c r="O231">
        <f t="shared" si="6"/>
        <v>38969.33</v>
      </c>
      <c r="P231" t="str">
        <f t="shared" si="7"/>
        <v/>
      </c>
      <c r="R231">
        <f t="array" ref="R231">IFERROR(INDEX($L$2:$L$501,SMALL(IF($M$2:$M$501=1,ROW($M$2:$M$501)-1),ROW()-1)),"")</f>
        <v>122338.51</v>
      </c>
      <c r="S231" t="str" cm="1">
        <f t="array" ref="S231">IFERROR(INDEX($L$2:$L$501,SMALL(IF($M$2:$M$501=0,ROW($M$2:$M$501)-1),ROW()-1)),"")</f>
        <v/>
      </c>
      <c r="U231" t="str" cm="1">
        <f t="array" ref="U231">IFERROR(INDEX($C$2:$C$501,SMALL(IF($D$2:$D$501="France",ROW($D$2:$D$501)-1),ROW()-1)),"")</f>
        <v/>
      </c>
      <c r="V231" t="str" cm="1">
        <f t="array" ref="V231">IFERROR(INDEX($C$2:$C$501,SMALL(IF($D$2:$D$501="Germany",ROW($D$2:$D$501)-1),ROW()-1)),"")</f>
        <v/>
      </c>
      <c r="W231" t="str" cm="1">
        <f t="array" ref="W231">IFERROR(INDEX($C$2:$C$501,SMALL(IF($D$2:$D$501="Spain",ROW($D$2:$D$501)-1),ROW()-1)),"")</f>
        <v/>
      </c>
    </row>
    <row r="232" spans="1:23" x14ac:dyDescent="0.35">
      <c r="A232">
        <v>231</v>
      </c>
      <c r="B232" t="s">
        <v>12</v>
      </c>
      <c r="C232">
        <v>626</v>
      </c>
      <c r="D232" t="s">
        <v>22</v>
      </c>
      <c r="E232" t="s">
        <v>25</v>
      </c>
      <c r="F232">
        <v>27</v>
      </c>
      <c r="G232">
        <v>9</v>
      </c>
      <c r="H232">
        <v>13467.28</v>
      </c>
      <c r="I232">
        <v>1</v>
      </c>
      <c r="J232">
        <v>0</v>
      </c>
      <c r="K232">
        <v>0</v>
      </c>
      <c r="L232">
        <v>114472.4</v>
      </c>
      <c r="M232">
        <v>1</v>
      </c>
      <c r="O232">
        <f t="shared" si="6"/>
        <v>114472.4</v>
      </c>
      <c r="P232" t="str">
        <f t="shared" si="7"/>
        <v/>
      </c>
      <c r="R232">
        <f t="array" ref="R232">IFERROR(INDEX($L$2:$L$501,SMALL(IF($M$2:$M$501=1,ROW($M$2:$M$501)-1),ROW()-1)),"")</f>
        <v>77215.990000000005</v>
      </c>
      <c r="S232" t="str" cm="1">
        <f t="array" ref="S232">IFERROR(INDEX($L$2:$L$501,SMALL(IF($M$2:$M$501=0,ROW($M$2:$M$501)-1),ROW()-1)),"")</f>
        <v/>
      </c>
      <c r="U232" t="str" cm="1">
        <f t="array" ref="U232">IFERROR(INDEX($C$2:$C$501,SMALL(IF($D$2:$D$501="France",ROW($D$2:$D$501)-1),ROW()-1)),"")</f>
        <v/>
      </c>
      <c r="V232" t="str" cm="1">
        <f t="array" ref="V232">IFERROR(INDEX($C$2:$C$501,SMALL(IF($D$2:$D$501="Germany",ROW($D$2:$D$501)-1),ROW()-1)),"")</f>
        <v/>
      </c>
      <c r="W232" t="str" cm="1">
        <f t="array" ref="W232">IFERROR(INDEX($C$2:$C$501,SMALL(IF($D$2:$D$501="Spain",ROW($D$2:$D$501)-1),ROW()-1)),"")</f>
        <v/>
      </c>
    </row>
    <row r="233" spans="1:23" x14ac:dyDescent="0.35">
      <c r="A233">
        <v>232</v>
      </c>
      <c r="B233" t="s">
        <v>12</v>
      </c>
      <c r="C233">
        <v>572</v>
      </c>
      <c r="D233" t="s">
        <v>22</v>
      </c>
      <c r="E233" t="s">
        <v>26</v>
      </c>
      <c r="F233">
        <v>58</v>
      </c>
      <c r="G233">
        <v>5</v>
      </c>
      <c r="H233">
        <v>180664.35</v>
      </c>
      <c r="I233">
        <v>1</v>
      </c>
      <c r="J233">
        <v>1</v>
      </c>
      <c r="K233">
        <v>1</v>
      </c>
      <c r="L233">
        <v>36108.42</v>
      </c>
      <c r="M233">
        <v>0</v>
      </c>
      <c r="O233" t="str">
        <f t="shared" si="6"/>
        <v/>
      </c>
      <c r="P233">
        <f t="shared" si="7"/>
        <v>36108.42</v>
      </c>
      <c r="R233">
        <f t="array" ref="R233">IFERROR(INDEX($L$2:$L$501,SMALL(IF($M$2:$M$501=1,ROW($M$2:$M$501)-1),ROW()-1)),"")</f>
        <v>19540.71</v>
      </c>
      <c r="S233" t="str" cm="1">
        <f t="array" ref="S233">IFERROR(INDEX($L$2:$L$501,SMALL(IF($M$2:$M$501=0,ROW($M$2:$M$501)-1),ROW()-1)),"")</f>
        <v/>
      </c>
      <c r="U233" t="str" cm="1">
        <f t="array" ref="U233">IFERROR(INDEX($C$2:$C$501,SMALL(IF($D$2:$D$501="France",ROW($D$2:$D$501)-1),ROW()-1)),"")</f>
        <v/>
      </c>
      <c r="V233" t="str" cm="1">
        <f t="array" ref="V233">IFERROR(INDEX($C$2:$C$501,SMALL(IF($D$2:$D$501="Germany",ROW($D$2:$D$501)-1),ROW()-1)),"")</f>
        <v/>
      </c>
      <c r="W233" t="str" cm="1">
        <f t="array" ref="W233">IFERROR(INDEX($C$2:$C$501,SMALL(IF($D$2:$D$501="Spain",ROW($D$2:$D$501)-1),ROW()-1)),"")</f>
        <v/>
      </c>
    </row>
    <row r="234" spans="1:23" x14ac:dyDescent="0.35">
      <c r="A234">
        <v>233</v>
      </c>
      <c r="B234" t="s">
        <v>13</v>
      </c>
      <c r="C234">
        <v>506</v>
      </c>
      <c r="D234" t="s">
        <v>23</v>
      </c>
      <c r="E234" t="s">
        <v>26</v>
      </c>
      <c r="F234">
        <v>72</v>
      </c>
      <c r="G234">
        <v>5</v>
      </c>
      <c r="H234">
        <v>120906.58</v>
      </c>
      <c r="I234">
        <v>2</v>
      </c>
      <c r="J234">
        <v>1</v>
      </c>
      <c r="K234">
        <v>0</v>
      </c>
      <c r="L234">
        <v>143845.99</v>
      </c>
      <c r="M234">
        <v>1</v>
      </c>
      <c r="O234">
        <f t="shared" si="6"/>
        <v>143845.99</v>
      </c>
      <c r="P234" t="str">
        <f t="shared" si="7"/>
        <v/>
      </c>
      <c r="R234">
        <f t="array" ref="R234">IFERROR(INDEX($L$2:$L$501,SMALL(IF($M$2:$M$501=1,ROW($M$2:$M$501)-1),ROW()-1)),"")</f>
        <v>22885.14</v>
      </c>
      <c r="S234" t="str" cm="1">
        <f t="array" ref="S234">IFERROR(INDEX($L$2:$L$501,SMALL(IF($M$2:$M$501=0,ROW($M$2:$M$501)-1),ROW()-1)),"")</f>
        <v/>
      </c>
      <c r="U234" t="str" cm="1">
        <f t="array" ref="U234">IFERROR(INDEX($C$2:$C$501,SMALL(IF($D$2:$D$501="France",ROW($D$2:$D$501)-1),ROW()-1)),"")</f>
        <v/>
      </c>
      <c r="V234" t="str" cm="1">
        <f t="array" ref="V234">IFERROR(INDEX($C$2:$C$501,SMALL(IF($D$2:$D$501="Germany",ROW($D$2:$D$501)-1),ROW()-1)),"")</f>
        <v/>
      </c>
      <c r="W234" t="str" cm="1">
        <f t="array" ref="W234">IFERROR(INDEX($C$2:$C$501,SMALL(IF($D$2:$D$501="Spain",ROW($D$2:$D$501)-1),ROW()-1)),"")</f>
        <v/>
      </c>
    </row>
    <row r="235" spans="1:23" x14ac:dyDescent="0.35">
      <c r="A235">
        <v>234</v>
      </c>
      <c r="B235" t="s">
        <v>20</v>
      </c>
      <c r="C235">
        <v>422</v>
      </c>
      <c r="D235" t="s">
        <v>24</v>
      </c>
      <c r="E235" t="s">
        <v>26</v>
      </c>
      <c r="F235">
        <v>69</v>
      </c>
      <c r="G235">
        <v>8</v>
      </c>
      <c r="H235">
        <v>198731.58</v>
      </c>
      <c r="I235">
        <v>3</v>
      </c>
      <c r="J235">
        <v>1</v>
      </c>
      <c r="K235">
        <v>0</v>
      </c>
      <c r="L235">
        <v>37615.839999999997</v>
      </c>
      <c r="M235">
        <v>1</v>
      </c>
      <c r="O235">
        <f t="shared" si="6"/>
        <v>37615.839999999997</v>
      </c>
      <c r="P235" t="str">
        <f t="shared" si="7"/>
        <v/>
      </c>
      <c r="R235">
        <f t="array" ref="R235">IFERROR(INDEX($L$2:$L$501,SMALL(IF($M$2:$M$501=1,ROW($M$2:$M$501)-1),ROW()-1)),"")</f>
        <v>64420.160000000003</v>
      </c>
      <c r="S235" t="str" cm="1">
        <f t="array" ref="S235">IFERROR(INDEX($L$2:$L$501,SMALL(IF($M$2:$M$501=0,ROW($M$2:$M$501)-1),ROW()-1)),"")</f>
        <v/>
      </c>
      <c r="U235" t="str" cm="1">
        <f t="array" ref="U235">IFERROR(INDEX($C$2:$C$501,SMALL(IF($D$2:$D$501="France",ROW($D$2:$D$501)-1),ROW()-1)),"")</f>
        <v/>
      </c>
      <c r="V235" t="str" cm="1">
        <f t="array" ref="V235">IFERROR(INDEX($C$2:$C$501,SMALL(IF($D$2:$D$501="Germany",ROW($D$2:$D$501)-1),ROW()-1)),"")</f>
        <v/>
      </c>
      <c r="W235" t="str" cm="1">
        <f t="array" ref="W235">IFERROR(INDEX($C$2:$C$501,SMALL(IF($D$2:$D$501="Spain",ROW($D$2:$D$501)-1),ROW()-1)),"")</f>
        <v/>
      </c>
    </row>
    <row r="236" spans="1:23" x14ac:dyDescent="0.35">
      <c r="A236">
        <v>235</v>
      </c>
      <c r="B236" t="s">
        <v>21</v>
      </c>
      <c r="C236">
        <v>624</v>
      </c>
      <c r="D236" t="s">
        <v>24</v>
      </c>
      <c r="E236" t="s">
        <v>25</v>
      </c>
      <c r="F236">
        <v>65</v>
      </c>
      <c r="G236">
        <v>4</v>
      </c>
      <c r="H236">
        <v>179014.43</v>
      </c>
      <c r="I236">
        <v>1</v>
      </c>
      <c r="J236">
        <v>1</v>
      </c>
      <c r="K236">
        <v>0</v>
      </c>
      <c r="L236">
        <v>83705.740000000005</v>
      </c>
      <c r="M236">
        <v>1</v>
      </c>
      <c r="O236">
        <f t="shared" si="6"/>
        <v>83705.740000000005</v>
      </c>
      <c r="P236" t="str">
        <f t="shared" si="7"/>
        <v/>
      </c>
      <c r="R236">
        <f t="array" ref="R236">IFERROR(INDEX($L$2:$L$501,SMALL(IF($M$2:$M$501=1,ROW($M$2:$M$501)-1),ROW()-1)),"")</f>
        <v>19915.18</v>
      </c>
      <c r="S236" t="str" cm="1">
        <f t="array" ref="S236">IFERROR(INDEX($L$2:$L$501,SMALL(IF($M$2:$M$501=0,ROW($M$2:$M$501)-1),ROW()-1)),"")</f>
        <v/>
      </c>
      <c r="U236" t="str" cm="1">
        <f t="array" ref="U236">IFERROR(INDEX($C$2:$C$501,SMALL(IF($D$2:$D$501="France",ROW($D$2:$D$501)-1),ROW()-1)),"")</f>
        <v/>
      </c>
      <c r="V236" t="str" cm="1">
        <f t="array" ref="V236">IFERROR(INDEX($C$2:$C$501,SMALL(IF($D$2:$D$501="Germany",ROW($D$2:$D$501)-1),ROW()-1)),"")</f>
        <v/>
      </c>
      <c r="W236" t="str" cm="1">
        <f t="array" ref="W236">IFERROR(INDEX($C$2:$C$501,SMALL(IF($D$2:$D$501="Spain",ROW($D$2:$D$501)-1),ROW()-1)),"")</f>
        <v/>
      </c>
    </row>
    <row r="237" spans="1:23" x14ac:dyDescent="0.35">
      <c r="A237">
        <v>236</v>
      </c>
      <c r="B237" t="s">
        <v>21</v>
      </c>
      <c r="C237">
        <v>759</v>
      </c>
      <c r="D237" t="s">
        <v>23</v>
      </c>
      <c r="E237" t="s">
        <v>25</v>
      </c>
      <c r="F237">
        <v>22</v>
      </c>
      <c r="G237">
        <v>5</v>
      </c>
      <c r="H237">
        <v>44104.69</v>
      </c>
      <c r="I237">
        <v>4</v>
      </c>
      <c r="J237">
        <v>1</v>
      </c>
      <c r="K237">
        <v>1</v>
      </c>
      <c r="L237">
        <v>101878.09</v>
      </c>
      <c r="M237">
        <v>1</v>
      </c>
      <c r="O237">
        <f t="shared" si="6"/>
        <v>101878.09</v>
      </c>
      <c r="P237" t="str">
        <f t="shared" si="7"/>
        <v/>
      </c>
      <c r="R237">
        <f t="array" ref="R237">IFERROR(INDEX($L$2:$L$501,SMALL(IF($M$2:$M$501=1,ROW($M$2:$M$501)-1),ROW()-1)),"")</f>
        <v>40101.64</v>
      </c>
      <c r="S237" t="str" cm="1">
        <f t="array" ref="S237">IFERROR(INDEX($L$2:$L$501,SMALL(IF($M$2:$M$501=0,ROW($M$2:$M$501)-1),ROW()-1)),"")</f>
        <v/>
      </c>
      <c r="U237" t="str" cm="1">
        <f t="array" ref="U237">IFERROR(INDEX($C$2:$C$501,SMALL(IF($D$2:$D$501="France",ROW($D$2:$D$501)-1),ROW()-1)),"")</f>
        <v/>
      </c>
      <c r="V237" t="str" cm="1">
        <f t="array" ref="V237">IFERROR(INDEX($C$2:$C$501,SMALL(IF($D$2:$D$501="Germany",ROW($D$2:$D$501)-1),ROW()-1)),"")</f>
        <v/>
      </c>
      <c r="W237" t="str" cm="1">
        <f t="array" ref="W237">IFERROR(INDEX($C$2:$C$501,SMALL(IF($D$2:$D$501="Spain",ROW($D$2:$D$501)-1),ROW()-1)),"")</f>
        <v/>
      </c>
    </row>
    <row r="238" spans="1:23" x14ac:dyDescent="0.35">
      <c r="A238">
        <v>237</v>
      </c>
      <c r="B238" t="s">
        <v>13</v>
      </c>
      <c r="C238">
        <v>758</v>
      </c>
      <c r="D238" t="s">
        <v>24</v>
      </c>
      <c r="E238" t="s">
        <v>26</v>
      </c>
      <c r="F238">
        <v>28</v>
      </c>
      <c r="G238">
        <v>0</v>
      </c>
      <c r="H238">
        <v>229680.01</v>
      </c>
      <c r="I238">
        <v>1</v>
      </c>
      <c r="J238">
        <v>1</v>
      </c>
      <c r="K238">
        <v>0</v>
      </c>
      <c r="L238">
        <v>33894.089999999997</v>
      </c>
      <c r="M238">
        <v>0</v>
      </c>
      <c r="O238" t="str">
        <f t="shared" si="6"/>
        <v/>
      </c>
      <c r="P238">
        <f t="shared" si="7"/>
        <v>33894.089999999997</v>
      </c>
      <c r="R238">
        <f t="array" ref="R238">IFERROR(INDEX($L$2:$L$501,SMALL(IF($M$2:$M$501=1,ROW($M$2:$M$501)-1),ROW()-1)),"")</f>
        <v>111156.24</v>
      </c>
      <c r="S238" t="str" cm="1">
        <f t="array" ref="S238">IFERROR(INDEX($L$2:$L$501,SMALL(IF($M$2:$M$501=0,ROW($M$2:$M$501)-1),ROW()-1)),"")</f>
        <v/>
      </c>
      <c r="U238" t="str" cm="1">
        <f t="array" ref="U238">IFERROR(INDEX($C$2:$C$501,SMALL(IF($D$2:$D$501="France",ROW($D$2:$D$501)-1),ROW()-1)),"")</f>
        <v/>
      </c>
      <c r="V238" t="str" cm="1">
        <f t="array" ref="V238">IFERROR(INDEX($C$2:$C$501,SMALL(IF($D$2:$D$501="Germany",ROW($D$2:$D$501)-1),ROW()-1)),"")</f>
        <v/>
      </c>
      <c r="W238" t="str" cm="1">
        <f t="array" ref="W238">IFERROR(INDEX($C$2:$C$501,SMALL(IF($D$2:$D$501="Spain",ROW($D$2:$D$501)-1),ROW()-1)),"")</f>
        <v/>
      </c>
    </row>
    <row r="239" spans="1:23" x14ac:dyDescent="0.35">
      <c r="A239">
        <v>238</v>
      </c>
      <c r="B239" t="s">
        <v>14</v>
      </c>
      <c r="C239">
        <v>389</v>
      </c>
      <c r="D239" t="s">
        <v>24</v>
      </c>
      <c r="E239" t="s">
        <v>26</v>
      </c>
      <c r="F239">
        <v>24</v>
      </c>
      <c r="G239">
        <v>3</v>
      </c>
      <c r="H239">
        <v>144426.62</v>
      </c>
      <c r="I239">
        <v>1</v>
      </c>
      <c r="J239">
        <v>1</v>
      </c>
      <c r="K239">
        <v>0</v>
      </c>
      <c r="L239">
        <v>64031.99</v>
      </c>
      <c r="M239">
        <v>0</v>
      </c>
      <c r="O239" t="str">
        <f t="shared" si="6"/>
        <v/>
      </c>
      <c r="P239">
        <f t="shared" si="7"/>
        <v>64031.99</v>
      </c>
      <c r="R239">
        <f t="array" ref="R239">IFERROR(INDEX($L$2:$L$501,SMALL(IF($M$2:$M$501=1,ROW($M$2:$M$501)-1),ROW()-1)),"")</f>
        <v>69683.199999999997</v>
      </c>
      <c r="S239" t="str" cm="1">
        <f t="array" ref="S239">IFERROR(INDEX($L$2:$L$501,SMALL(IF($M$2:$M$501=0,ROW($M$2:$M$501)-1),ROW()-1)),"")</f>
        <v/>
      </c>
      <c r="U239" t="str" cm="1">
        <f t="array" ref="U239">IFERROR(INDEX($C$2:$C$501,SMALL(IF($D$2:$D$501="France",ROW($D$2:$D$501)-1),ROW()-1)),"")</f>
        <v/>
      </c>
      <c r="V239" t="str" cm="1">
        <f t="array" ref="V239">IFERROR(INDEX($C$2:$C$501,SMALL(IF($D$2:$D$501="Germany",ROW($D$2:$D$501)-1),ROW()-1)),"")</f>
        <v/>
      </c>
      <c r="W239" t="str" cm="1">
        <f t="array" ref="W239">IFERROR(INDEX($C$2:$C$501,SMALL(IF($D$2:$D$501="Spain",ROW($D$2:$D$501)-1),ROW()-1)),"")</f>
        <v/>
      </c>
    </row>
    <row r="240" spans="1:23" x14ac:dyDescent="0.35">
      <c r="A240">
        <v>239</v>
      </c>
      <c r="B240" t="s">
        <v>20</v>
      </c>
      <c r="C240">
        <v>584</v>
      </c>
      <c r="D240" t="s">
        <v>23</v>
      </c>
      <c r="E240" t="s">
        <v>26</v>
      </c>
      <c r="F240">
        <v>62</v>
      </c>
      <c r="G240">
        <v>1</v>
      </c>
      <c r="H240">
        <v>96431.53</v>
      </c>
      <c r="I240">
        <v>3</v>
      </c>
      <c r="J240">
        <v>1</v>
      </c>
      <c r="K240">
        <v>1</v>
      </c>
      <c r="L240">
        <v>119070.68</v>
      </c>
      <c r="M240">
        <v>0</v>
      </c>
      <c r="O240" t="str">
        <f t="shared" si="6"/>
        <v/>
      </c>
      <c r="P240">
        <f t="shared" si="7"/>
        <v>119070.68</v>
      </c>
      <c r="R240">
        <f t="array" ref="R240">IFERROR(INDEX($L$2:$L$501,SMALL(IF($M$2:$M$501=1,ROW($M$2:$M$501)-1),ROW()-1)),"")</f>
        <v>56017.64</v>
      </c>
      <c r="S240" t="str" cm="1">
        <f t="array" ref="S240">IFERROR(INDEX($L$2:$L$501,SMALL(IF($M$2:$M$501=0,ROW($M$2:$M$501)-1),ROW()-1)),"")</f>
        <v/>
      </c>
      <c r="U240" t="str" cm="1">
        <f t="array" ref="U240">IFERROR(INDEX($C$2:$C$501,SMALL(IF($D$2:$D$501="France",ROW($D$2:$D$501)-1),ROW()-1)),"")</f>
        <v/>
      </c>
      <c r="V240" t="str" cm="1">
        <f t="array" ref="V240">IFERROR(INDEX($C$2:$C$501,SMALL(IF($D$2:$D$501="Germany",ROW($D$2:$D$501)-1),ROW()-1)),"")</f>
        <v/>
      </c>
      <c r="W240" t="str" cm="1">
        <f t="array" ref="W240">IFERROR(INDEX($C$2:$C$501,SMALL(IF($D$2:$D$501="Spain",ROW($D$2:$D$501)-1),ROW()-1)),"")</f>
        <v/>
      </c>
    </row>
    <row r="241" spans="1:23" x14ac:dyDescent="0.35">
      <c r="A241">
        <v>240</v>
      </c>
      <c r="B241" t="s">
        <v>20</v>
      </c>
      <c r="C241">
        <v>473</v>
      </c>
      <c r="D241" t="s">
        <v>24</v>
      </c>
      <c r="E241" t="s">
        <v>26</v>
      </c>
      <c r="F241">
        <v>90</v>
      </c>
      <c r="G241">
        <v>6</v>
      </c>
      <c r="H241">
        <v>56926.6</v>
      </c>
      <c r="I241">
        <v>3</v>
      </c>
      <c r="J241">
        <v>0</v>
      </c>
      <c r="K241">
        <v>0</v>
      </c>
      <c r="L241">
        <v>52021.75</v>
      </c>
      <c r="M241">
        <v>1</v>
      </c>
      <c r="O241">
        <f t="shared" si="6"/>
        <v>52021.75</v>
      </c>
      <c r="P241" t="str">
        <f t="shared" si="7"/>
        <v/>
      </c>
      <c r="R241">
        <f t="array" ref="R241">IFERROR(INDEX($L$2:$L$501,SMALL(IF($M$2:$M$501=1,ROW($M$2:$M$501)-1),ROW()-1)),"")</f>
        <v>68485.740000000005</v>
      </c>
      <c r="S241" t="str" cm="1">
        <f t="array" ref="S241">IFERROR(INDEX($L$2:$L$501,SMALL(IF($M$2:$M$501=0,ROW($M$2:$M$501)-1),ROW()-1)),"")</f>
        <v/>
      </c>
      <c r="U241" t="str" cm="1">
        <f t="array" ref="U241">IFERROR(INDEX($C$2:$C$501,SMALL(IF($D$2:$D$501="France",ROW($D$2:$D$501)-1),ROW()-1)),"")</f>
        <v/>
      </c>
      <c r="V241" t="str" cm="1">
        <f t="array" ref="V241">IFERROR(INDEX($C$2:$C$501,SMALL(IF($D$2:$D$501="Germany",ROW($D$2:$D$501)-1),ROW()-1)),"")</f>
        <v/>
      </c>
      <c r="W241" t="str" cm="1">
        <f t="array" ref="W241">IFERROR(INDEX($C$2:$C$501,SMALL(IF($D$2:$D$501="Spain",ROW($D$2:$D$501)-1),ROW()-1)),"")</f>
        <v/>
      </c>
    </row>
    <row r="242" spans="1:23" x14ac:dyDescent="0.35">
      <c r="A242">
        <v>241</v>
      </c>
      <c r="B242" t="s">
        <v>18</v>
      </c>
      <c r="C242">
        <v>634</v>
      </c>
      <c r="D242" t="s">
        <v>23</v>
      </c>
      <c r="E242" t="s">
        <v>25</v>
      </c>
      <c r="F242">
        <v>26</v>
      </c>
      <c r="G242">
        <v>8</v>
      </c>
      <c r="H242">
        <v>195884.79999999999</v>
      </c>
      <c r="I242">
        <v>3</v>
      </c>
      <c r="J242">
        <v>0</v>
      </c>
      <c r="K242">
        <v>1</v>
      </c>
      <c r="L242">
        <v>58187.74</v>
      </c>
      <c r="M242">
        <v>1</v>
      </c>
      <c r="O242">
        <f t="shared" si="6"/>
        <v>58187.74</v>
      </c>
      <c r="P242" t="str">
        <f t="shared" si="7"/>
        <v/>
      </c>
      <c r="R242">
        <f t="array" ref="R242">IFERROR(INDEX($L$2:$L$501,SMALL(IF($M$2:$M$501=1,ROW($M$2:$M$501)-1),ROW()-1)),"")</f>
        <v>20477.41</v>
      </c>
      <c r="S242" t="str" cm="1">
        <f t="array" ref="S242">IFERROR(INDEX($L$2:$L$501,SMALL(IF($M$2:$M$501=0,ROW($M$2:$M$501)-1),ROW()-1)),"")</f>
        <v/>
      </c>
      <c r="U242" t="str" cm="1">
        <f t="array" ref="U242">IFERROR(INDEX($C$2:$C$501,SMALL(IF($D$2:$D$501="France",ROW($D$2:$D$501)-1),ROW()-1)),"")</f>
        <v/>
      </c>
      <c r="V242" t="str" cm="1">
        <f t="array" ref="V242">IFERROR(INDEX($C$2:$C$501,SMALL(IF($D$2:$D$501="Germany",ROW($D$2:$D$501)-1),ROW()-1)),"")</f>
        <v/>
      </c>
      <c r="W242" t="str" cm="1">
        <f t="array" ref="W242">IFERROR(INDEX($C$2:$C$501,SMALL(IF($D$2:$D$501="Spain",ROW($D$2:$D$501)-1),ROW()-1)),"")</f>
        <v/>
      </c>
    </row>
    <row r="243" spans="1:23" x14ac:dyDescent="0.35">
      <c r="A243">
        <v>242</v>
      </c>
      <c r="B243" t="s">
        <v>18</v>
      </c>
      <c r="C243">
        <v>502</v>
      </c>
      <c r="D243" t="s">
        <v>22</v>
      </c>
      <c r="E243" t="s">
        <v>26</v>
      </c>
      <c r="F243">
        <v>90</v>
      </c>
      <c r="G243">
        <v>6</v>
      </c>
      <c r="H243">
        <v>242675.6</v>
      </c>
      <c r="I243">
        <v>4</v>
      </c>
      <c r="J243">
        <v>1</v>
      </c>
      <c r="K243">
        <v>0</v>
      </c>
      <c r="L243">
        <v>38576.97</v>
      </c>
      <c r="M243">
        <v>1</v>
      </c>
      <c r="O243">
        <f t="shared" si="6"/>
        <v>38576.97</v>
      </c>
      <c r="P243" t="str">
        <f t="shared" si="7"/>
        <v/>
      </c>
      <c r="R243">
        <f t="array" ref="R243">IFERROR(INDEX($L$2:$L$501,SMALL(IF($M$2:$M$501=1,ROW($M$2:$M$501)-1),ROW()-1)),"")</f>
        <v>102957.36</v>
      </c>
      <c r="S243" t="str" cm="1">
        <f t="array" ref="S243">IFERROR(INDEX($L$2:$L$501,SMALL(IF($M$2:$M$501=0,ROW($M$2:$M$501)-1),ROW()-1)),"")</f>
        <v/>
      </c>
      <c r="U243" t="str" cm="1">
        <f t="array" ref="U243">IFERROR(INDEX($C$2:$C$501,SMALL(IF($D$2:$D$501="France",ROW($D$2:$D$501)-1),ROW()-1)),"")</f>
        <v/>
      </c>
      <c r="V243" t="str" cm="1">
        <f t="array" ref="V243">IFERROR(INDEX($C$2:$C$501,SMALL(IF($D$2:$D$501="Germany",ROW($D$2:$D$501)-1),ROW()-1)),"")</f>
        <v/>
      </c>
      <c r="W243" t="str" cm="1">
        <f t="array" ref="W243">IFERROR(INDEX($C$2:$C$501,SMALL(IF($D$2:$D$501="Spain",ROW($D$2:$D$501)-1),ROW()-1)),"")</f>
        <v/>
      </c>
    </row>
    <row r="244" spans="1:23" x14ac:dyDescent="0.35">
      <c r="A244">
        <v>243</v>
      </c>
      <c r="B244" t="s">
        <v>13</v>
      </c>
      <c r="C244">
        <v>496</v>
      </c>
      <c r="D244" t="s">
        <v>22</v>
      </c>
      <c r="E244" t="s">
        <v>25</v>
      </c>
      <c r="F244">
        <v>36</v>
      </c>
      <c r="G244">
        <v>3</v>
      </c>
      <c r="H244">
        <v>183880.09</v>
      </c>
      <c r="I244">
        <v>3</v>
      </c>
      <c r="J244">
        <v>1</v>
      </c>
      <c r="K244">
        <v>1</v>
      </c>
      <c r="L244">
        <v>116196.88</v>
      </c>
      <c r="M244">
        <v>0</v>
      </c>
      <c r="O244" t="str">
        <f t="shared" si="6"/>
        <v/>
      </c>
      <c r="P244">
        <f t="shared" si="7"/>
        <v>116196.88</v>
      </c>
      <c r="R244">
        <f t="array" ref="R244">IFERROR(INDEX($L$2:$L$501,SMALL(IF($M$2:$M$501=1,ROW($M$2:$M$501)-1),ROW()-1)),"")</f>
        <v>30241.09</v>
      </c>
      <c r="S244" t="str" cm="1">
        <f t="array" ref="S244">IFERROR(INDEX($L$2:$L$501,SMALL(IF($M$2:$M$501=0,ROW($M$2:$M$501)-1),ROW()-1)),"")</f>
        <v/>
      </c>
      <c r="U244" t="str" cm="1">
        <f t="array" ref="U244">IFERROR(INDEX($C$2:$C$501,SMALL(IF($D$2:$D$501="France",ROW($D$2:$D$501)-1),ROW()-1)),"")</f>
        <v/>
      </c>
      <c r="V244" t="str" cm="1">
        <f t="array" ref="V244">IFERROR(INDEX($C$2:$C$501,SMALL(IF($D$2:$D$501="Germany",ROW($D$2:$D$501)-1),ROW()-1)),"")</f>
        <v/>
      </c>
      <c r="W244" t="str" cm="1">
        <f t="array" ref="W244">IFERROR(INDEX($C$2:$C$501,SMALL(IF($D$2:$D$501="Spain",ROW($D$2:$D$501)-1),ROW()-1)),"")</f>
        <v/>
      </c>
    </row>
    <row r="245" spans="1:23" x14ac:dyDescent="0.35">
      <c r="A245">
        <v>244</v>
      </c>
      <c r="B245" t="s">
        <v>16</v>
      </c>
      <c r="C245">
        <v>545</v>
      </c>
      <c r="D245" t="s">
        <v>24</v>
      </c>
      <c r="E245" t="s">
        <v>26</v>
      </c>
      <c r="F245">
        <v>20</v>
      </c>
      <c r="G245">
        <v>4</v>
      </c>
      <c r="H245">
        <v>152465.9</v>
      </c>
      <c r="I245">
        <v>3</v>
      </c>
      <c r="J245">
        <v>1</v>
      </c>
      <c r="K245">
        <v>1</v>
      </c>
      <c r="L245">
        <v>43527.09</v>
      </c>
      <c r="M245">
        <v>0</v>
      </c>
      <c r="O245" t="str">
        <f t="shared" si="6"/>
        <v/>
      </c>
      <c r="P245">
        <f t="shared" si="7"/>
        <v>43527.09</v>
      </c>
      <c r="R245">
        <f t="array" ref="R245">IFERROR(INDEX($L$2:$L$501,SMALL(IF($M$2:$M$501=1,ROW($M$2:$M$501)-1),ROW()-1)),"")</f>
        <v>33648.46</v>
      </c>
      <c r="S245" t="str" cm="1">
        <f t="array" ref="S245">IFERROR(INDEX($L$2:$L$501,SMALL(IF($M$2:$M$501=0,ROW($M$2:$M$501)-1),ROW()-1)),"")</f>
        <v/>
      </c>
      <c r="U245" t="str" cm="1">
        <f t="array" ref="U245">IFERROR(INDEX($C$2:$C$501,SMALL(IF($D$2:$D$501="France",ROW($D$2:$D$501)-1),ROW()-1)),"")</f>
        <v/>
      </c>
      <c r="V245" t="str" cm="1">
        <f t="array" ref="V245">IFERROR(INDEX($C$2:$C$501,SMALL(IF($D$2:$D$501="Germany",ROW($D$2:$D$501)-1),ROW()-1)),"")</f>
        <v/>
      </c>
      <c r="W245" t="str" cm="1">
        <f t="array" ref="W245">IFERROR(INDEX($C$2:$C$501,SMALL(IF($D$2:$D$501="Spain",ROW($D$2:$D$501)-1),ROW()-1)),"")</f>
        <v/>
      </c>
    </row>
    <row r="246" spans="1:23" x14ac:dyDescent="0.35">
      <c r="A246">
        <v>245</v>
      </c>
      <c r="B246" t="s">
        <v>14</v>
      </c>
      <c r="C246">
        <v>522</v>
      </c>
      <c r="D246" t="s">
        <v>23</v>
      </c>
      <c r="E246" t="s">
        <v>25</v>
      </c>
      <c r="F246">
        <v>87</v>
      </c>
      <c r="G246">
        <v>5</v>
      </c>
      <c r="H246">
        <v>237584.05</v>
      </c>
      <c r="I246">
        <v>3</v>
      </c>
      <c r="J246">
        <v>1</v>
      </c>
      <c r="K246">
        <v>1</v>
      </c>
      <c r="L246">
        <v>47917.63</v>
      </c>
      <c r="M246">
        <v>1</v>
      </c>
      <c r="O246">
        <f t="shared" si="6"/>
        <v>47917.63</v>
      </c>
      <c r="P246" t="str">
        <f t="shared" si="7"/>
        <v/>
      </c>
      <c r="R246">
        <f t="array" ref="R246">IFERROR(INDEX($L$2:$L$501,SMALL(IF($M$2:$M$501=1,ROW($M$2:$M$501)-1),ROW()-1)),"")</f>
        <v>148736.87</v>
      </c>
      <c r="S246" t="str" cm="1">
        <f t="array" ref="S246">IFERROR(INDEX($L$2:$L$501,SMALL(IF($M$2:$M$501=0,ROW($M$2:$M$501)-1),ROW()-1)),"")</f>
        <v/>
      </c>
      <c r="U246" t="str" cm="1">
        <f t="array" ref="U246">IFERROR(INDEX($C$2:$C$501,SMALL(IF($D$2:$D$501="France",ROW($D$2:$D$501)-1),ROW()-1)),"")</f>
        <v/>
      </c>
      <c r="V246" t="str" cm="1">
        <f t="array" ref="V246">IFERROR(INDEX($C$2:$C$501,SMALL(IF($D$2:$D$501="Germany",ROW($D$2:$D$501)-1),ROW()-1)),"")</f>
        <v/>
      </c>
      <c r="W246" t="str" cm="1">
        <f t="array" ref="W246">IFERROR(INDEX($C$2:$C$501,SMALL(IF($D$2:$D$501="Spain",ROW($D$2:$D$501)-1),ROW()-1)),"")</f>
        <v/>
      </c>
    </row>
    <row r="247" spans="1:23" x14ac:dyDescent="0.35">
      <c r="A247">
        <v>246</v>
      </c>
      <c r="B247" t="s">
        <v>15</v>
      </c>
      <c r="C247">
        <v>561</v>
      </c>
      <c r="D247" t="s">
        <v>22</v>
      </c>
      <c r="E247" t="s">
        <v>25</v>
      </c>
      <c r="F247">
        <v>47</v>
      </c>
      <c r="G247">
        <v>8</v>
      </c>
      <c r="H247">
        <v>177892.9</v>
      </c>
      <c r="I247">
        <v>1</v>
      </c>
      <c r="J247">
        <v>0</v>
      </c>
      <c r="K247">
        <v>0</v>
      </c>
      <c r="L247">
        <v>78723.149999999994</v>
      </c>
      <c r="M247">
        <v>1</v>
      </c>
      <c r="O247">
        <f t="shared" si="6"/>
        <v>78723.149999999994</v>
      </c>
      <c r="P247" t="str">
        <f t="shared" si="7"/>
        <v/>
      </c>
      <c r="R247">
        <f t="array" ref="R247">IFERROR(INDEX($L$2:$L$501,SMALL(IF($M$2:$M$501=1,ROW($M$2:$M$501)-1),ROW()-1)),"")</f>
        <v>136504.93</v>
      </c>
      <c r="S247" t="str" cm="1">
        <f t="array" ref="S247">IFERROR(INDEX($L$2:$L$501,SMALL(IF($M$2:$M$501=0,ROW($M$2:$M$501)-1),ROW()-1)),"")</f>
        <v/>
      </c>
      <c r="U247" t="str" cm="1">
        <f t="array" ref="U247">IFERROR(INDEX($C$2:$C$501,SMALL(IF($D$2:$D$501="France",ROW($D$2:$D$501)-1),ROW()-1)),"")</f>
        <v/>
      </c>
      <c r="V247" t="str" cm="1">
        <f t="array" ref="V247">IFERROR(INDEX($C$2:$C$501,SMALL(IF($D$2:$D$501="Germany",ROW($D$2:$D$501)-1),ROW()-1)),"")</f>
        <v/>
      </c>
      <c r="W247" t="str" cm="1">
        <f t="array" ref="W247">IFERROR(INDEX($C$2:$C$501,SMALL(IF($D$2:$D$501="Spain",ROW($D$2:$D$501)-1),ROW()-1)),"")</f>
        <v/>
      </c>
    </row>
    <row r="248" spans="1:23" x14ac:dyDescent="0.35">
      <c r="A248">
        <v>247</v>
      </c>
      <c r="B248" t="s">
        <v>14</v>
      </c>
      <c r="C248">
        <v>651</v>
      </c>
      <c r="D248" t="s">
        <v>23</v>
      </c>
      <c r="E248" t="s">
        <v>26</v>
      </c>
      <c r="F248">
        <v>45</v>
      </c>
      <c r="G248">
        <v>2</v>
      </c>
      <c r="H248">
        <v>114118.16</v>
      </c>
      <c r="I248">
        <v>4</v>
      </c>
      <c r="J248">
        <v>0</v>
      </c>
      <c r="K248">
        <v>0</v>
      </c>
      <c r="L248">
        <v>36850.699999999997</v>
      </c>
      <c r="M248">
        <v>0</v>
      </c>
      <c r="O248" t="str">
        <f t="shared" si="6"/>
        <v/>
      </c>
      <c r="P248">
        <f t="shared" si="7"/>
        <v>36850.699999999997</v>
      </c>
      <c r="R248">
        <f t="array" ref="R248">IFERROR(INDEX($L$2:$L$501,SMALL(IF($M$2:$M$501=1,ROW($M$2:$M$501)-1),ROW()-1)),"")</f>
        <v>74035.929999999993</v>
      </c>
      <c r="S248" t="str" cm="1">
        <f t="array" ref="S248">IFERROR(INDEX($L$2:$L$501,SMALL(IF($M$2:$M$501=0,ROW($M$2:$M$501)-1),ROW()-1)),"")</f>
        <v/>
      </c>
      <c r="U248" t="str" cm="1">
        <f t="array" ref="U248">IFERROR(INDEX($C$2:$C$501,SMALL(IF($D$2:$D$501="France",ROW($D$2:$D$501)-1),ROW()-1)),"")</f>
        <v/>
      </c>
      <c r="V248" t="str" cm="1">
        <f t="array" ref="V248">IFERROR(INDEX($C$2:$C$501,SMALL(IF($D$2:$D$501="Germany",ROW($D$2:$D$501)-1),ROW()-1)),"")</f>
        <v/>
      </c>
      <c r="W248" t="str" cm="1">
        <f t="array" ref="W248">IFERROR(INDEX($C$2:$C$501,SMALL(IF($D$2:$D$501="Spain",ROW($D$2:$D$501)-1),ROW()-1)),"")</f>
        <v/>
      </c>
    </row>
    <row r="249" spans="1:23" x14ac:dyDescent="0.35">
      <c r="A249">
        <v>248</v>
      </c>
      <c r="B249" t="s">
        <v>17</v>
      </c>
      <c r="C249">
        <v>660</v>
      </c>
      <c r="D249" t="s">
        <v>23</v>
      </c>
      <c r="E249" t="s">
        <v>26</v>
      </c>
      <c r="F249">
        <v>35</v>
      </c>
      <c r="G249">
        <v>9</v>
      </c>
      <c r="H249">
        <v>80413.460000000006</v>
      </c>
      <c r="I249">
        <v>2</v>
      </c>
      <c r="J249">
        <v>0</v>
      </c>
      <c r="K249">
        <v>1</v>
      </c>
      <c r="L249">
        <v>42147.48</v>
      </c>
      <c r="M249">
        <v>0</v>
      </c>
      <c r="O249" t="str">
        <f t="shared" si="6"/>
        <v/>
      </c>
      <c r="P249">
        <f t="shared" si="7"/>
        <v>42147.48</v>
      </c>
      <c r="R249">
        <f t="array" ref="R249">IFERROR(INDEX($L$2:$L$501,SMALL(IF($M$2:$M$501=1,ROW($M$2:$M$501)-1),ROW()-1)),"")</f>
        <v>72303.199999999997</v>
      </c>
      <c r="S249" t="str" cm="1">
        <f t="array" ref="S249">IFERROR(INDEX($L$2:$L$501,SMALL(IF($M$2:$M$501=0,ROW($M$2:$M$501)-1),ROW()-1)),"")</f>
        <v/>
      </c>
      <c r="U249" t="str" cm="1">
        <f t="array" ref="U249">IFERROR(INDEX($C$2:$C$501,SMALL(IF($D$2:$D$501="France",ROW($D$2:$D$501)-1),ROW()-1)),"")</f>
        <v/>
      </c>
      <c r="V249" t="str" cm="1">
        <f t="array" ref="V249">IFERROR(INDEX($C$2:$C$501,SMALL(IF($D$2:$D$501="Germany",ROW($D$2:$D$501)-1),ROW()-1)),"")</f>
        <v/>
      </c>
      <c r="W249" t="str" cm="1">
        <f t="array" ref="W249">IFERROR(INDEX($C$2:$C$501,SMALL(IF($D$2:$D$501="Spain",ROW($D$2:$D$501)-1),ROW()-1)),"")</f>
        <v/>
      </c>
    </row>
    <row r="250" spans="1:23" x14ac:dyDescent="0.35">
      <c r="A250">
        <v>249</v>
      </c>
      <c r="B250" t="s">
        <v>21</v>
      </c>
      <c r="C250">
        <v>350</v>
      </c>
      <c r="D250" t="s">
        <v>23</v>
      </c>
      <c r="E250" t="s">
        <v>26</v>
      </c>
      <c r="F250">
        <v>76</v>
      </c>
      <c r="G250">
        <v>3</v>
      </c>
      <c r="H250">
        <v>47176.34</v>
      </c>
      <c r="I250">
        <v>4</v>
      </c>
      <c r="J250">
        <v>1</v>
      </c>
      <c r="K250">
        <v>1</v>
      </c>
      <c r="L250">
        <v>139671.97</v>
      </c>
      <c r="M250">
        <v>0</v>
      </c>
      <c r="O250" t="str">
        <f t="shared" si="6"/>
        <v/>
      </c>
      <c r="P250">
        <f t="shared" si="7"/>
        <v>139671.97</v>
      </c>
      <c r="R250">
        <f t="array" ref="R250">IFERROR(INDEX($L$2:$L$501,SMALL(IF($M$2:$M$501=1,ROW($M$2:$M$501)-1),ROW()-1)),"")</f>
        <v>111036.69</v>
      </c>
      <c r="S250" t="str" cm="1">
        <f t="array" ref="S250">IFERROR(INDEX($L$2:$L$501,SMALL(IF($M$2:$M$501=0,ROW($M$2:$M$501)-1),ROW()-1)),"")</f>
        <v/>
      </c>
      <c r="U250" t="str" cm="1">
        <f t="array" ref="U250">IFERROR(INDEX($C$2:$C$501,SMALL(IF($D$2:$D$501="France",ROW($D$2:$D$501)-1),ROW()-1)),"")</f>
        <v/>
      </c>
      <c r="V250" t="str" cm="1">
        <f t="array" ref="V250">IFERROR(INDEX($C$2:$C$501,SMALL(IF($D$2:$D$501="Germany",ROW($D$2:$D$501)-1),ROW()-1)),"")</f>
        <v/>
      </c>
      <c r="W250" t="str" cm="1">
        <f t="array" ref="W250">IFERROR(INDEX($C$2:$C$501,SMALL(IF($D$2:$D$501="Spain",ROW($D$2:$D$501)-1),ROW()-1)),"")</f>
        <v/>
      </c>
    </row>
    <row r="251" spans="1:23" x14ac:dyDescent="0.35">
      <c r="A251">
        <v>250</v>
      </c>
      <c r="B251" t="s">
        <v>21</v>
      </c>
      <c r="C251">
        <v>488</v>
      </c>
      <c r="D251" t="s">
        <v>24</v>
      </c>
      <c r="E251" t="s">
        <v>26</v>
      </c>
      <c r="F251">
        <v>29</v>
      </c>
      <c r="G251">
        <v>2</v>
      </c>
      <c r="H251">
        <v>218420.19</v>
      </c>
      <c r="I251">
        <v>1</v>
      </c>
      <c r="J251">
        <v>1</v>
      </c>
      <c r="K251">
        <v>0</v>
      </c>
      <c r="L251">
        <v>122291.38</v>
      </c>
      <c r="M251">
        <v>0</v>
      </c>
      <c r="O251" t="str">
        <f t="shared" si="6"/>
        <v/>
      </c>
      <c r="P251">
        <f t="shared" si="7"/>
        <v>122291.38</v>
      </c>
      <c r="R251">
        <f t="array" ref="R251">IFERROR(INDEX($L$2:$L$501,SMALL(IF($M$2:$M$501=1,ROW($M$2:$M$501)-1),ROW()-1)),"")</f>
        <v>13370.94</v>
      </c>
      <c r="S251" t="str" cm="1">
        <f t="array" ref="S251">IFERROR(INDEX($L$2:$L$501,SMALL(IF($M$2:$M$501=0,ROW($M$2:$M$501)-1),ROW()-1)),"")</f>
        <v/>
      </c>
      <c r="U251" t="str" cm="1">
        <f t="array" ref="U251">IFERROR(INDEX($C$2:$C$501,SMALL(IF($D$2:$D$501="France",ROW($D$2:$D$501)-1),ROW()-1)),"")</f>
        <v/>
      </c>
      <c r="V251" t="str" cm="1">
        <f t="array" ref="V251">IFERROR(INDEX($C$2:$C$501,SMALL(IF($D$2:$D$501="Germany",ROW($D$2:$D$501)-1),ROW()-1)),"")</f>
        <v/>
      </c>
      <c r="W251" t="str" cm="1">
        <f t="array" ref="W251">IFERROR(INDEX($C$2:$C$501,SMALL(IF($D$2:$D$501="Spain",ROW($D$2:$D$501)-1),ROW()-1)),"")</f>
        <v/>
      </c>
    </row>
    <row r="252" spans="1:23" x14ac:dyDescent="0.35">
      <c r="A252">
        <v>251</v>
      </c>
      <c r="B252" t="s">
        <v>17</v>
      </c>
      <c r="C252">
        <v>545</v>
      </c>
      <c r="D252" t="s">
        <v>22</v>
      </c>
      <c r="E252" t="s">
        <v>25</v>
      </c>
      <c r="F252">
        <v>67</v>
      </c>
      <c r="G252">
        <v>9</v>
      </c>
      <c r="H252">
        <v>180722.3</v>
      </c>
      <c r="I252">
        <v>2</v>
      </c>
      <c r="J252">
        <v>1</v>
      </c>
      <c r="K252">
        <v>1</v>
      </c>
      <c r="L252">
        <v>47605.64</v>
      </c>
      <c r="M252">
        <v>0</v>
      </c>
      <c r="O252" t="str">
        <f t="shared" si="6"/>
        <v/>
      </c>
      <c r="P252">
        <f t="shared" si="7"/>
        <v>47605.64</v>
      </c>
      <c r="R252">
        <f t="array" ref="R252">IFERROR(INDEX($L$2:$L$501,SMALL(IF($M$2:$M$501=1,ROW($M$2:$M$501)-1),ROW()-1)),"")</f>
        <v>140478.74</v>
      </c>
      <c r="S252" t="str" cm="1">
        <f t="array" ref="S252">IFERROR(INDEX($L$2:$L$501,SMALL(IF($M$2:$M$501=0,ROW($M$2:$M$501)-1),ROW()-1)),"")</f>
        <v/>
      </c>
      <c r="U252" t="str" cm="1">
        <f t="array" ref="U252">IFERROR(INDEX($C$2:$C$501,SMALL(IF($D$2:$D$501="France",ROW($D$2:$D$501)-1),ROW()-1)),"")</f>
        <v/>
      </c>
      <c r="V252" t="str" cm="1">
        <f t="array" ref="V252">IFERROR(INDEX($C$2:$C$501,SMALL(IF($D$2:$D$501="Germany",ROW($D$2:$D$501)-1),ROW()-1)),"")</f>
        <v/>
      </c>
      <c r="W252" t="str" cm="1">
        <f t="array" ref="W252">IFERROR(INDEX($C$2:$C$501,SMALL(IF($D$2:$D$501="Spain",ROW($D$2:$D$501)-1),ROW()-1)),"")</f>
        <v/>
      </c>
    </row>
    <row r="253" spans="1:23" x14ac:dyDescent="0.35">
      <c r="A253">
        <v>252</v>
      </c>
      <c r="B253" t="s">
        <v>21</v>
      </c>
      <c r="C253">
        <v>740</v>
      </c>
      <c r="D253" t="s">
        <v>24</v>
      </c>
      <c r="E253" t="s">
        <v>25</v>
      </c>
      <c r="F253">
        <v>90</v>
      </c>
      <c r="G253">
        <v>1</v>
      </c>
      <c r="H253">
        <v>244519.73</v>
      </c>
      <c r="I253">
        <v>4</v>
      </c>
      <c r="J253">
        <v>0</v>
      </c>
      <c r="K253">
        <v>1</v>
      </c>
      <c r="L253">
        <v>107875.29</v>
      </c>
      <c r="M253">
        <v>0</v>
      </c>
      <c r="O253" t="str">
        <f t="shared" si="6"/>
        <v/>
      </c>
      <c r="P253">
        <f t="shared" si="7"/>
        <v>107875.29</v>
      </c>
      <c r="R253">
        <f t="array" ref="R253">IFERROR(INDEX($L$2:$L$501,SMALL(IF($M$2:$M$501=1,ROW($M$2:$M$501)-1),ROW()-1)),"")</f>
        <v>148617.01</v>
      </c>
      <c r="S253" t="str" cm="1">
        <f t="array" ref="S253">IFERROR(INDEX($L$2:$L$501,SMALL(IF($M$2:$M$501=0,ROW($M$2:$M$501)-1),ROW()-1)),"")</f>
        <v/>
      </c>
      <c r="U253" t="str" cm="1">
        <f t="array" ref="U253">IFERROR(INDEX($C$2:$C$501,SMALL(IF($D$2:$D$501="France",ROW($D$2:$D$501)-1),ROW()-1)),"")</f>
        <v/>
      </c>
      <c r="V253" t="str" cm="1">
        <f t="array" ref="V253">IFERROR(INDEX($C$2:$C$501,SMALL(IF($D$2:$D$501="Germany",ROW($D$2:$D$501)-1),ROW()-1)),"")</f>
        <v/>
      </c>
      <c r="W253" t="str" cm="1">
        <f t="array" ref="W253">IFERROR(INDEX($C$2:$C$501,SMALL(IF($D$2:$D$501="Spain",ROW($D$2:$D$501)-1),ROW()-1)),"")</f>
        <v/>
      </c>
    </row>
    <row r="254" spans="1:23" x14ac:dyDescent="0.35">
      <c r="A254">
        <v>253</v>
      </c>
      <c r="B254" t="s">
        <v>18</v>
      </c>
      <c r="C254">
        <v>569</v>
      </c>
      <c r="D254" t="s">
        <v>23</v>
      </c>
      <c r="E254" t="s">
        <v>25</v>
      </c>
      <c r="F254">
        <v>21</v>
      </c>
      <c r="G254">
        <v>1</v>
      </c>
      <c r="H254">
        <v>18800.849999999999</v>
      </c>
      <c r="I254">
        <v>1</v>
      </c>
      <c r="J254">
        <v>0</v>
      </c>
      <c r="K254">
        <v>0</v>
      </c>
      <c r="L254">
        <v>60995.519999999997</v>
      </c>
      <c r="M254">
        <v>1</v>
      </c>
      <c r="O254">
        <f t="shared" si="6"/>
        <v>60995.519999999997</v>
      </c>
      <c r="P254" t="str">
        <f t="shared" si="7"/>
        <v/>
      </c>
      <c r="R254">
        <f t="array" ref="R254">IFERROR(INDEX($L$2:$L$501,SMALL(IF($M$2:$M$501=1,ROW($M$2:$M$501)-1),ROW()-1)),"")</f>
        <v>35122.36</v>
      </c>
      <c r="S254" t="str" cm="1">
        <f t="array" ref="S254">IFERROR(INDEX($L$2:$L$501,SMALL(IF($M$2:$M$501=0,ROW($M$2:$M$501)-1),ROW()-1)),"")</f>
        <v/>
      </c>
      <c r="U254" t="str" cm="1">
        <f t="array" ref="U254">IFERROR(INDEX($C$2:$C$501,SMALL(IF($D$2:$D$501="France",ROW($D$2:$D$501)-1),ROW()-1)),"")</f>
        <v/>
      </c>
      <c r="V254" t="str" cm="1">
        <f t="array" ref="V254">IFERROR(INDEX($C$2:$C$501,SMALL(IF($D$2:$D$501="Germany",ROW($D$2:$D$501)-1),ROW()-1)),"")</f>
        <v/>
      </c>
      <c r="W254" t="str" cm="1">
        <f t="array" ref="W254">IFERROR(INDEX($C$2:$C$501,SMALL(IF($D$2:$D$501="Spain",ROW($D$2:$D$501)-1),ROW()-1)),"")</f>
        <v/>
      </c>
    </row>
    <row r="255" spans="1:23" x14ac:dyDescent="0.35">
      <c r="A255">
        <v>254</v>
      </c>
      <c r="B255" t="s">
        <v>17</v>
      </c>
      <c r="C255">
        <v>705</v>
      </c>
      <c r="D255" t="s">
        <v>22</v>
      </c>
      <c r="E255" t="s">
        <v>25</v>
      </c>
      <c r="F255">
        <v>29</v>
      </c>
      <c r="G255">
        <v>10</v>
      </c>
      <c r="H255">
        <v>78681.009999999995</v>
      </c>
      <c r="I255">
        <v>1</v>
      </c>
      <c r="J255">
        <v>0</v>
      </c>
      <c r="K255">
        <v>0</v>
      </c>
      <c r="L255">
        <v>69503.59</v>
      </c>
      <c r="M255">
        <v>0</v>
      </c>
      <c r="O255" t="str">
        <f t="shared" si="6"/>
        <v/>
      </c>
      <c r="P255">
        <f t="shared" si="7"/>
        <v>69503.59</v>
      </c>
      <c r="R255">
        <f t="array" ref="R255">IFERROR(INDEX($L$2:$L$501,SMALL(IF($M$2:$M$501=1,ROW($M$2:$M$501)-1),ROW()-1)),"")</f>
        <v>90411.33</v>
      </c>
      <c r="S255" t="str" cm="1">
        <f t="array" ref="S255">IFERROR(INDEX($L$2:$L$501,SMALL(IF($M$2:$M$501=0,ROW($M$2:$M$501)-1),ROW()-1)),"")</f>
        <v/>
      </c>
      <c r="U255" t="str" cm="1">
        <f t="array" ref="U255">IFERROR(INDEX($C$2:$C$501,SMALL(IF($D$2:$D$501="France",ROW($D$2:$D$501)-1),ROW()-1)),"")</f>
        <v/>
      </c>
      <c r="V255" t="str" cm="1">
        <f t="array" ref="V255">IFERROR(INDEX($C$2:$C$501,SMALL(IF($D$2:$D$501="Germany",ROW($D$2:$D$501)-1),ROW()-1)),"")</f>
        <v/>
      </c>
      <c r="W255" t="str" cm="1">
        <f t="array" ref="W255">IFERROR(INDEX($C$2:$C$501,SMALL(IF($D$2:$D$501="Spain",ROW($D$2:$D$501)-1),ROW()-1)),"")</f>
        <v/>
      </c>
    </row>
    <row r="256" spans="1:23" x14ac:dyDescent="0.35">
      <c r="A256">
        <v>255</v>
      </c>
      <c r="B256" t="s">
        <v>12</v>
      </c>
      <c r="C256">
        <v>791</v>
      </c>
      <c r="D256" t="s">
        <v>24</v>
      </c>
      <c r="E256" t="s">
        <v>25</v>
      </c>
      <c r="F256">
        <v>75</v>
      </c>
      <c r="G256">
        <v>8</v>
      </c>
      <c r="H256">
        <v>101615.64</v>
      </c>
      <c r="I256">
        <v>2</v>
      </c>
      <c r="J256">
        <v>1</v>
      </c>
      <c r="K256">
        <v>0</v>
      </c>
      <c r="L256">
        <v>108820.32</v>
      </c>
      <c r="M256">
        <v>1</v>
      </c>
      <c r="O256">
        <f t="shared" si="6"/>
        <v>108820.32</v>
      </c>
      <c r="P256" t="str">
        <f t="shared" si="7"/>
        <v/>
      </c>
      <c r="R256">
        <f t="array" ref="R256">IFERROR(INDEX($L$2:$L$501,SMALL(IF($M$2:$M$501=1,ROW($M$2:$M$501)-1),ROW()-1)),"")</f>
        <v>131348.78</v>
      </c>
      <c r="S256" t="str" cm="1">
        <f t="array" ref="S256">IFERROR(INDEX($L$2:$L$501,SMALL(IF($M$2:$M$501=0,ROW($M$2:$M$501)-1),ROW()-1)),"")</f>
        <v/>
      </c>
      <c r="U256" t="str" cm="1">
        <f t="array" ref="U256">IFERROR(INDEX($C$2:$C$501,SMALL(IF($D$2:$D$501="France",ROW($D$2:$D$501)-1),ROW()-1)),"")</f>
        <v/>
      </c>
      <c r="V256" t="str" cm="1">
        <f t="array" ref="V256">IFERROR(INDEX($C$2:$C$501,SMALL(IF($D$2:$D$501="Germany",ROW($D$2:$D$501)-1),ROW()-1)),"")</f>
        <v/>
      </c>
      <c r="W256" t="str" cm="1">
        <f t="array" ref="W256">IFERROR(INDEX($C$2:$C$501,SMALL(IF($D$2:$D$501="Spain",ROW($D$2:$D$501)-1),ROW()-1)),"")</f>
        <v/>
      </c>
    </row>
    <row r="257" spans="1:23" x14ac:dyDescent="0.35">
      <c r="A257">
        <v>256</v>
      </c>
      <c r="B257" t="s">
        <v>12</v>
      </c>
      <c r="C257">
        <v>804</v>
      </c>
      <c r="D257" t="s">
        <v>22</v>
      </c>
      <c r="E257" t="s">
        <v>26</v>
      </c>
      <c r="F257">
        <v>68</v>
      </c>
      <c r="G257">
        <v>10</v>
      </c>
      <c r="H257">
        <v>240635.59</v>
      </c>
      <c r="I257">
        <v>1</v>
      </c>
      <c r="J257">
        <v>0</v>
      </c>
      <c r="K257">
        <v>0</v>
      </c>
      <c r="L257">
        <v>122764.08</v>
      </c>
      <c r="M257">
        <v>0</v>
      </c>
      <c r="O257" t="str">
        <f t="shared" si="6"/>
        <v/>
      </c>
      <c r="P257">
        <f t="shared" si="7"/>
        <v>122764.08</v>
      </c>
      <c r="R257">
        <f t="array" ref="R257">IFERROR(INDEX($L$2:$L$501,SMALL(IF($M$2:$M$501=1,ROW($M$2:$M$501)-1),ROW()-1)),"")</f>
        <v>16813.419999999998</v>
      </c>
      <c r="S257" t="str" cm="1">
        <f t="array" ref="S257">IFERROR(INDEX($L$2:$L$501,SMALL(IF($M$2:$M$501=0,ROW($M$2:$M$501)-1),ROW()-1)),"")</f>
        <v/>
      </c>
      <c r="U257" t="str" cm="1">
        <f t="array" ref="U257">IFERROR(INDEX($C$2:$C$501,SMALL(IF($D$2:$D$501="France",ROW($D$2:$D$501)-1),ROW()-1)),"")</f>
        <v/>
      </c>
      <c r="V257" t="str" cm="1">
        <f t="array" ref="V257">IFERROR(INDEX($C$2:$C$501,SMALL(IF($D$2:$D$501="Germany",ROW($D$2:$D$501)-1),ROW()-1)),"")</f>
        <v/>
      </c>
      <c r="W257" t="str" cm="1">
        <f t="array" ref="W257">IFERROR(INDEX($C$2:$C$501,SMALL(IF($D$2:$D$501="Spain",ROW($D$2:$D$501)-1),ROW()-1)),"")</f>
        <v/>
      </c>
    </row>
    <row r="258" spans="1:23" x14ac:dyDescent="0.35">
      <c r="A258">
        <v>257</v>
      </c>
      <c r="B258" t="s">
        <v>12</v>
      </c>
      <c r="C258">
        <v>753</v>
      </c>
      <c r="D258" t="s">
        <v>24</v>
      </c>
      <c r="E258" t="s">
        <v>25</v>
      </c>
      <c r="F258">
        <v>33</v>
      </c>
      <c r="G258">
        <v>6</v>
      </c>
      <c r="H258">
        <v>147696.65</v>
      </c>
      <c r="I258">
        <v>2</v>
      </c>
      <c r="J258">
        <v>1</v>
      </c>
      <c r="K258">
        <v>0</v>
      </c>
      <c r="L258">
        <v>46897.41</v>
      </c>
      <c r="M258">
        <v>1</v>
      </c>
      <c r="O258">
        <f t="shared" si="6"/>
        <v>46897.41</v>
      </c>
      <c r="P258" t="str">
        <f t="shared" si="7"/>
        <v/>
      </c>
      <c r="R258">
        <f t="array" ref="R258">IFERROR(INDEX($L$2:$L$501,SMALL(IF($M$2:$M$501=1,ROW($M$2:$M$501)-1),ROW()-1)),"")</f>
        <v>14893.47</v>
      </c>
      <c r="S258" t="str" cm="1">
        <f t="array" ref="S258">IFERROR(INDEX($L$2:$L$501,SMALL(IF($M$2:$M$501=0,ROW($M$2:$M$501)-1),ROW()-1)),"")</f>
        <v/>
      </c>
      <c r="U258" t="str" cm="1">
        <f t="array" ref="U258">IFERROR(INDEX($C$2:$C$501,SMALL(IF($D$2:$D$501="France",ROW($D$2:$D$501)-1),ROW()-1)),"")</f>
        <v/>
      </c>
      <c r="V258" t="str" cm="1">
        <f t="array" ref="V258">IFERROR(INDEX($C$2:$C$501,SMALL(IF($D$2:$D$501="Germany",ROW($D$2:$D$501)-1),ROW()-1)),"")</f>
        <v/>
      </c>
      <c r="W258" t="str" cm="1">
        <f t="array" ref="W258">IFERROR(INDEX($C$2:$C$501,SMALL(IF($D$2:$D$501="Spain",ROW($D$2:$D$501)-1),ROW()-1)),"")</f>
        <v/>
      </c>
    </row>
    <row r="259" spans="1:23" x14ac:dyDescent="0.35">
      <c r="A259">
        <v>258</v>
      </c>
      <c r="B259" t="s">
        <v>17</v>
      </c>
      <c r="C259">
        <v>512</v>
      </c>
      <c r="D259" t="s">
        <v>23</v>
      </c>
      <c r="E259" t="s">
        <v>26</v>
      </c>
      <c r="F259">
        <v>75</v>
      </c>
      <c r="G259">
        <v>10</v>
      </c>
      <c r="H259">
        <v>170020.95</v>
      </c>
      <c r="I259">
        <v>4</v>
      </c>
      <c r="J259">
        <v>1</v>
      </c>
      <c r="K259">
        <v>1</v>
      </c>
      <c r="L259">
        <v>34325.360000000001</v>
      </c>
      <c r="M259">
        <v>1</v>
      </c>
      <c r="O259">
        <f t="shared" ref="O259:O322" si="8">IF($M259=1,$L259,"")</f>
        <v>34325.360000000001</v>
      </c>
      <c r="P259" t="str">
        <f t="shared" ref="P259:P322" si="9">IF($M259=0,$L259,"")</f>
        <v/>
      </c>
      <c r="R259">
        <f t="array" ref="R259">IFERROR(INDEX($L$2:$L$501,SMALL(IF($M$2:$M$501=1,ROW($M$2:$M$501)-1),ROW()-1)),"")</f>
        <v>23399.15</v>
      </c>
      <c r="S259" t="str" cm="1">
        <f t="array" ref="S259">IFERROR(INDEX($L$2:$L$501,SMALL(IF($M$2:$M$501=0,ROW($M$2:$M$501)-1),ROW()-1)),"")</f>
        <v/>
      </c>
      <c r="U259" t="str" cm="1">
        <f t="array" ref="U259">IFERROR(INDEX($C$2:$C$501,SMALL(IF($D$2:$D$501="France",ROW($D$2:$D$501)-1),ROW()-1)),"")</f>
        <v/>
      </c>
      <c r="V259" t="str" cm="1">
        <f t="array" ref="V259">IFERROR(INDEX($C$2:$C$501,SMALL(IF($D$2:$D$501="Germany",ROW($D$2:$D$501)-1),ROW()-1)),"")</f>
        <v/>
      </c>
      <c r="W259" t="str" cm="1">
        <f t="array" ref="W259">IFERROR(INDEX($C$2:$C$501,SMALL(IF($D$2:$D$501="Spain",ROW($D$2:$D$501)-1),ROW()-1)),"")</f>
        <v/>
      </c>
    </row>
    <row r="260" spans="1:23" x14ac:dyDescent="0.35">
      <c r="A260">
        <v>259</v>
      </c>
      <c r="B260" t="s">
        <v>12</v>
      </c>
      <c r="C260">
        <v>400</v>
      </c>
      <c r="D260" t="s">
        <v>22</v>
      </c>
      <c r="E260" t="s">
        <v>25</v>
      </c>
      <c r="F260">
        <v>21</v>
      </c>
      <c r="G260">
        <v>3</v>
      </c>
      <c r="H260">
        <v>67715.59</v>
      </c>
      <c r="I260">
        <v>2</v>
      </c>
      <c r="J260">
        <v>1</v>
      </c>
      <c r="K260">
        <v>1</v>
      </c>
      <c r="L260">
        <v>71585.87</v>
      </c>
      <c r="M260">
        <v>1</v>
      </c>
      <c r="O260">
        <f t="shared" si="8"/>
        <v>71585.87</v>
      </c>
      <c r="P260" t="str">
        <f t="shared" si="9"/>
        <v/>
      </c>
      <c r="R260">
        <f t="array" ref="R260">IFERROR(INDEX($L$2:$L$501,SMALL(IF($M$2:$M$501=1,ROW($M$2:$M$501)-1),ROW()-1)),"")</f>
        <v>24061.040000000001</v>
      </c>
      <c r="S260" t="str" cm="1">
        <f t="array" ref="S260">IFERROR(INDEX($L$2:$L$501,SMALL(IF($M$2:$M$501=0,ROW($M$2:$M$501)-1),ROW()-1)),"")</f>
        <v/>
      </c>
      <c r="U260" t="str" cm="1">
        <f t="array" ref="U260">IFERROR(INDEX($C$2:$C$501,SMALL(IF($D$2:$D$501="France",ROW($D$2:$D$501)-1),ROW()-1)),"")</f>
        <v/>
      </c>
      <c r="V260" t="str" cm="1">
        <f t="array" ref="V260">IFERROR(INDEX($C$2:$C$501,SMALL(IF($D$2:$D$501="Germany",ROW($D$2:$D$501)-1),ROW()-1)),"")</f>
        <v/>
      </c>
      <c r="W260" t="str" cm="1">
        <f t="array" ref="W260">IFERROR(INDEX($C$2:$C$501,SMALL(IF($D$2:$D$501="Spain",ROW($D$2:$D$501)-1),ROW()-1)),"")</f>
        <v/>
      </c>
    </row>
    <row r="261" spans="1:23" x14ac:dyDescent="0.35">
      <c r="A261">
        <v>260</v>
      </c>
      <c r="B261" t="s">
        <v>15</v>
      </c>
      <c r="C261">
        <v>592</v>
      </c>
      <c r="D261" t="s">
        <v>23</v>
      </c>
      <c r="E261" t="s">
        <v>25</v>
      </c>
      <c r="F261">
        <v>78</v>
      </c>
      <c r="G261">
        <v>2</v>
      </c>
      <c r="H261">
        <v>64372.08</v>
      </c>
      <c r="I261">
        <v>2</v>
      </c>
      <c r="J261">
        <v>0</v>
      </c>
      <c r="K261">
        <v>1</v>
      </c>
      <c r="L261">
        <v>45223.9</v>
      </c>
      <c r="M261">
        <v>1</v>
      </c>
      <c r="O261">
        <f t="shared" si="8"/>
        <v>45223.9</v>
      </c>
      <c r="P261" t="str">
        <f t="shared" si="9"/>
        <v/>
      </c>
      <c r="R261">
        <f t="array" ref="R261">IFERROR(INDEX($L$2:$L$501,SMALL(IF($M$2:$M$501=1,ROW($M$2:$M$501)-1),ROW()-1)),"")</f>
        <v>80855.009999999995</v>
      </c>
      <c r="S261" t="str" cm="1">
        <f t="array" ref="S261">IFERROR(INDEX($L$2:$L$501,SMALL(IF($M$2:$M$501=0,ROW($M$2:$M$501)-1),ROW()-1)),"")</f>
        <v/>
      </c>
      <c r="U261" t="str" cm="1">
        <f t="array" ref="U261">IFERROR(INDEX($C$2:$C$501,SMALL(IF($D$2:$D$501="France",ROW($D$2:$D$501)-1),ROW()-1)),"")</f>
        <v/>
      </c>
      <c r="V261" t="str" cm="1">
        <f t="array" ref="V261">IFERROR(INDEX($C$2:$C$501,SMALL(IF($D$2:$D$501="Germany",ROW($D$2:$D$501)-1),ROW()-1)),"")</f>
        <v/>
      </c>
      <c r="W261" t="str" cm="1">
        <f t="array" ref="W261">IFERROR(INDEX($C$2:$C$501,SMALL(IF($D$2:$D$501="Spain",ROW($D$2:$D$501)-1),ROW()-1)),"")</f>
        <v/>
      </c>
    </row>
    <row r="262" spans="1:23" x14ac:dyDescent="0.35">
      <c r="A262">
        <v>261</v>
      </c>
      <c r="B262" t="s">
        <v>15</v>
      </c>
      <c r="C262">
        <v>708</v>
      </c>
      <c r="D262" t="s">
        <v>23</v>
      </c>
      <c r="E262" t="s">
        <v>26</v>
      </c>
      <c r="F262">
        <v>57</v>
      </c>
      <c r="G262">
        <v>2</v>
      </c>
      <c r="H262">
        <v>85692.93</v>
      </c>
      <c r="I262">
        <v>1</v>
      </c>
      <c r="J262">
        <v>1</v>
      </c>
      <c r="K262">
        <v>1</v>
      </c>
      <c r="L262">
        <v>122538.35</v>
      </c>
      <c r="M262">
        <v>0</v>
      </c>
      <c r="O262" t="str">
        <f t="shared" si="8"/>
        <v/>
      </c>
      <c r="P262">
        <f t="shared" si="9"/>
        <v>122538.35</v>
      </c>
      <c r="R262">
        <f t="array" ref="R262">IFERROR(INDEX($L$2:$L$501,SMALL(IF($M$2:$M$501=1,ROW($M$2:$M$501)-1),ROW()-1)),"")</f>
        <v>19461.59</v>
      </c>
      <c r="S262" t="str" cm="1">
        <f t="array" ref="S262">IFERROR(INDEX($L$2:$L$501,SMALL(IF($M$2:$M$501=0,ROW($M$2:$M$501)-1),ROW()-1)),"")</f>
        <v/>
      </c>
      <c r="U262" t="str" cm="1">
        <f t="array" ref="U262">IFERROR(INDEX($C$2:$C$501,SMALL(IF($D$2:$D$501="France",ROW($D$2:$D$501)-1),ROW()-1)),"")</f>
        <v/>
      </c>
      <c r="V262" t="str" cm="1">
        <f t="array" ref="V262">IFERROR(INDEX($C$2:$C$501,SMALL(IF($D$2:$D$501="Germany",ROW($D$2:$D$501)-1),ROW()-1)),"")</f>
        <v/>
      </c>
      <c r="W262" t="str" cm="1">
        <f t="array" ref="W262">IFERROR(INDEX($C$2:$C$501,SMALL(IF($D$2:$D$501="Spain",ROW($D$2:$D$501)-1),ROW()-1)),"")</f>
        <v/>
      </c>
    </row>
    <row r="263" spans="1:23" x14ac:dyDescent="0.35">
      <c r="A263">
        <v>262</v>
      </c>
      <c r="B263" t="s">
        <v>19</v>
      </c>
      <c r="C263">
        <v>370</v>
      </c>
      <c r="D263" t="s">
        <v>22</v>
      </c>
      <c r="E263" t="s">
        <v>25</v>
      </c>
      <c r="F263">
        <v>47</v>
      </c>
      <c r="G263">
        <v>4</v>
      </c>
      <c r="H263">
        <v>20999.24</v>
      </c>
      <c r="I263">
        <v>3</v>
      </c>
      <c r="J263">
        <v>1</v>
      </c>
      <c r="K263">
        <v>1</v>
      </c>
      <c r="L263">
        <v>33647.800000000003</v>
      </c>
      <c r="M263">
        <v>1</v>
      </c>
      <c r="O263">
        <f t="shared" si="8"/>
        <v>33647.800000000003</v>
      </c>
      <c r="P263" t="str">
        <f t="shared" si="9"/>
        <v/>
      </c>
      <c r="R263">
        <f t="array" ref="R263">IFERROR(INDEX($L$2:$L$501,SMALL(IF($M$2:$M$501=1,ROW($M$2:$M$501)-1),ROW()-1)),"")</f>
        <v>144035.23000000001</v>
      </c>
      <c r="S263" t="str" cm="1">
        <f t="array" ref="S263">IFERROR(INDEX($L$2:$L$501,SMALL(IF($M$2:$M$501=0,ROW($M$2:$M$501)-1),ROW()-1)),"")</f>
        <v/>
      </c>
      <c r="U263" t="str" cm="1">
        <f t="array" ref="U263">IFERROR(INDEX($C$2:$C$501,SMALL(IF($D$2:$D$501="France",ROW($D$2:$D$501)-1),ROW()-1)),"")</f>
        <v/>
      </c>
      <c r="V263" t="str" cm="1">
        <f t="array" ref="V263">IFERROR(INDEX($C$2:$C$501,SMALL(IF($D$2:$D$501="Germany",ROW($D$2:$D$501)-1),ROW()-1)),"")</f>
        <v/>
      </c>
      <c r="W263" t="str" cm="1">
        <f t="array" ref="W263">IFERROR(INDEX($C$2:$C$501,SMALL(IF($D$2:$D$501="Spain",ROW($D$2:$D$501)-1),ROW()-1)),"")</f>
        <v/>
      </c>
    </row>
    <row r="264" spans="1:23" x14ac:dyDescent="0.35">
      <c r="A264">
        <v>263</v>
      </c>
      <c r="B264" t="s">
        <v>21</v>
      </c>
      <c r="C264">
        <v>521</v>
      </c>
      <c r="D264" t="s">
        <v>22</v>
      </c>
      <c r="E264" t="s">
        <v>25</v>
      </c>
      <c r="F264">
        <v>71</v>
      </c>
      <c r="G264">
        <v>10</v>
      </c>
      <c r="H264">
        <v>234878.9</v>
      </c>
      <c r="I264">
        <v>1</v>
      </c>
      <c r="J264">
        <v>0</v>
      </c>
      <c r="K264">
        <v>1</v>
      </c>
      <c r="L264">
        <v>55748.58</v>
      </c>
      <c r="M264">
        <v>1</v>
      </c>
      <c r="O264">
        <f t="shared" si="8"/>
        <v>55748.58</v>
      </c>
      <c r="P264" t="str">
        <f t="shared" si="9"/>
        <v/>
      </c>
      <c r="R264">
        <f t="array" ref="R264">IFERROR(INDEX($L$2:$L$501,SMALL(IF($M$2:$M$501=1,ROW($M$2:$M$501)-1),ROW()-1)),"")</f>
        <v>142428.82999999999</v>
      </c>
      <c r="S264" t="str" cm="1">
        <f t="array" ref="S264">IFERROR(INDEX($L$2:$L$501,SMALL(IF($M$2:$M$501=0,ROW($M$2:$M$501)-1),ROW()-1)),"")</f>
        <v/>
      </c>
      <c r="U264" t="str" cm="1">
        <f t="array" ref="U264">IFERROR(INDEX($C$2:$C$501,SMALL(IF($D$2:$D$501="France",ROW($D$2:$D$501)-1),ROW()-1)),"")</f>
        <v/>
      </c>
      <c r="V264" t="str" cm="1">
        <f t="array" ref="V264">IFERROR(INDEX($C$2:$C$501,SMALL(IF($D$2:$D$501="Germany",ROW($D$2:$D$501)-1),ROW()-1)),"")</f>
        <v/>
      </c>
      <c r="W264" t="str" cm="1">
        <f t="array" ref="W264">IFERROR(INDEX($C$2:$C$501,SMALL(IF($D$2:$D$501="Spain",ROW($D$2:$D$501)-1),ROW()-1)),"")</f>
        <v/>
      </c>
    </row>
    <row r="265" spans="1:23" x14ac:dyDescent="0.35">
      <c r="A265">
        <v>264</v>
      </c>
      <c r="B265" t="s">
        <v>19</v>
      </c>
      <c r="C265">
        <v>468</v>
      </c>
      <c r="D265" t="s">
        <v>24</v>
      </c>
      <c r="E265" t="s">
        <v>26</v>
      </c>
      <c r="F265">
        <v>85</v>
      </c>
      <c r="G265">
        <v>7</v>
      </c>
      <c r="H265">
        <v>101290.26</v>
      </c>
      <c r="I265">
        <v>1</v>
      </c>
      <c r="J265">
        <v>1</v>
      </c>
      <c r="K265">
        <v>1</v>
      </c>
      <c r="L265">
        <v>37047.949999999997</v>
      </c>
      <c r="M265">
        <v>0</v>
      </c>
      <c r="O265" t="str">
        <f t="shared" si="8"/>
        <v/>
      </c>
      <c r="P265">
        <f t="shared" si="9"/>
        <v>37047.949999999997</v>
      </c>
      <c r="R265">
        <f t="array" ref="R265">IFERROR(INDEX($L$2:$L$501,SMALL(IF($M$2:$M$501=1,ROW($M$2:$M$501)-1),ROW()-1)),"")</f>
        <v>48172.94</v>
      </c>
      <c r="S265" t="str" cm="1">
        <f t="array" ref="S265">IFERROR(INDEX($L$2:$L$501,SMALL(IF($M$2:$M$501=0,ROW($M$2:$M$501)-1),ROW()-1)),"")</f>
        <v/>
      </c>
      <c r="U265" t="str" cm="1">
        <f t="array" ref="U265">IFERROR(INDEX($C$2:$C$501,SMALL(IF($D$2:$D$501="France",ROW($D$2:$D$501)-1),ROW()-1)),"")</f>
        <v/>
      </c>
      <c r="V265" t="str" cm="1">
        <f t="array" ref="V265">IFERROR(INDEX($C$2:$C$501,SMALL(IF($D$2:$D$501="Germany",ROW($D$2:$D$501)-1),ROW()-1)),"")</f>
        <v/>
      </c>
      <c r="W265" t="str" cm="1">
        <f t="array" ref="W265">IFERROR(INDEX($C$2:$C$501,SMALL(IF($D$2:$D$501="Spain",ROW($D$2:$D$501)-1),ROW()-1)),"")</f>
        <v/>
      </c>
    </row>
    <row r="266" spans="1:23" x14ac:dyDescent="0.35">
      <c r="A266">
        <v>265</v>
      </c>
      <c r="B266" t="s">
        <v>15</v>
      </c>
      <c r="C266">
        <v>478</v>
      </c>
      <c r="D266" t="s">
        <v>24</v>
      </c>
      <c r="E266" t="s">
        <v>25</v>
      </c>
      <c r="F266">
        <v>74</v>
      </c>
      <c r="G266">
        <v>2</v>
      </c>
      <c r="H266">
        <v>50125.4</v>
      </c>
      <c r="I266">
        <v>4</v>
      </c>
      <c r="J266">
        <v>1</v>
      </c>
      <c r="K266">
        <v>1</v>
      </c>
      <c r="L266">
        <v>14640.19</v>
      </c>
      <c r="M266">
        <v>1</v>
      </c>
      <c r="O266">
        <f t="shared" si="8"/>
        <v>14640.19</v>
      </c>
      <c r="P266" t="str">
        <f t="shared" si="9"/>
        <v/>
      </c>
      <c r="R266">
        <f t="array" ref="R266">IFERROR(INDEX($L$2:$L$501,SMALL(IF($M$2:$M$501=1,ROW($M$2:$M$501)-1),ROW()-1)),"")</f>
        <v>129097.79</v>
      </c>
      <c r="S266" t="str" cm="1">
        <f t="array" ref="S266">IFERROR(INDEX($L$2:$L$501,SMALL(IF($M$2:$M$501=0,ROW($M$2:$M$501)-1),ROW()-1)),"")</f>
        <v/>
      </c>
      <c r="U266" t="str" cm="1">
        <f t="array" ref="U266">IFERROR(INDEX($C$2:$C$501,SMALL(IF($D$2:$D$501="France",ROW($D$2:$D$501)-1),ROW()-1)),"")</f>
        <v/>
      </c>
      <c r="V266" t="str" cm="1">
        <f t="array" ref="V266">IFERROR(INDEX($C$2:$C$501,SMALL(IF($D$2:$D$501="Germany",ROW($D$2:$D$501)-1),ROW()-1)),"")</f>
        <v/>
      </c>
      <c r="W266" t="str" cm="1">
        <f t="array" ref="W266">IFERROR(INDEX($C$2:$C$501,SMALL(IF($D$2:$D$501="Spain",ROW($D$2:$D$501)-1),ROW()-1)),"")</f>
        <v/>
      </c>
    </row>
    <row r="267" spans="1:23" x14ac:dyDescent="0.35">
      <c r="A267">
        <v>266</v>
      </c>
      <c r="B267" t="s">
        <v>17</v>
      </c>
      <c r="C267">
        <v>834</v>
      </c>
      <c r="D267" t="s">
        <v>23</v>
      </c>
      <c r="E267" t="s">
        <v>26</v>
      </c>
      <c r="F267">
        <v>63</v>
      </c>
      <c r="G267">
        <v>4</v>
      </c>
      <c r="H267">
        <v>85953.51</v>
      </c>
      <c r="I267">
        <v>2</v>
      </c>
      <c r="J267">
        <v>1</v>
      </c>
      <c r="K267">
        <v>1</v>
      </c>
      <c r="L267">
        <v>91754.31</v>
      </c>
      <c r="M267">
        <v>0</v>
      </c>
      <c r="O267" t="str">
        <f t="shared" si="8"/>
        <v/>
      </c>
      <c r="P267">
        <f t="shared" si="9"/>
        <v>91754.31</v>
      </c>
      <c r="R267">
        <f t="array" ref="R267">IFERROR(INDEX($L$2:$L$501,SMALL(IF($M$2:$M$501=1,ROW($M$2:$M$501)-1),ROW()-1)),"")</f>
        <v>143986.04</v>
      </c>
      <c r="S267" t="str" cm="1">
        <f t="array" ref="S267">IFERROR(INDEX($L$2:$L$501,SMALL(IF($M$2:$M$501=0,ROW($M$2:$M$501)-1),ROW()-1)),"")</f>
        <v/>
      </c>
      <c r="U267" t="str" cm="1">
        <f t="array" ref="U267">IFERROR(INDEX($C$2:$C$501,SMALL(IF($D$2:$D$501="France",ROW($D$2:$D$501)-1),ROW()-1)),"")</f>
        <v/>
      </c>
      <c r="V267" t="str" cm="1">
        <f t="array" ref="V267">IFERROR(INDEX($C$2:$C$501,SMALL(IF($D$2:$D$501="Germany",ROW($D$2:$D$501)-1),ROW()-1)),"")</f>
        <v/>
      </c>
      <c r="W267" t="str" cm="1">
        <f t="array" ref="W267">IFERROR(INDEX($C$2:$C$501,SMALL(IF($D$2:$D$501="Spain",ROW($D$2:$D$501)-1),ROW()-1)),"")</f>
        <v/>
      </c>
    </row>
    <row r="268" spans="1:23" x14ac:dyDescent="0.35">
      <c r="A268">
        <v>267</v>
      </c>
      <c r="B268" t="s">
        <v>14</v>
      </c>
      <c r="C268">
        <v>715</v>
      </c>
      <c r="D268" t="s">
        <v>24</v>
      </c>
      <c r="E268" t="s">
        <v>25</v>
      </c>
      <c r="F268">
        <v>29</v>
      </c>
      <c r="G268">
        <v>4</v>
      </c>
      <c r="H268">
        <v>48947.26</v>
      </c>
      <c r="I268">
        <v>4</v>
      </c>
      <c r="J268">
        <v>1</v>
      </c>
      <c r="K268">
        <v>0</v>
      </c>
      <c r="L268">
        <v>119204.73</v>
      </c>
      <c r="M268">
        <v>1</v>
      </c>
      <c r="O268">
        <f t="shared" si="8"/>
        <v>119204.73</v>
      </c>
      <c r="P268" t="str">
        <f t="shared" si="9"/>
        <v/>
      </c>
      <c r="R268">
        <f t="array" ref="R268">IFERROR(INDEX($L$2:$L$501,SMALL(IF($M$2:$M$501=1,ROW($M$2:$M$501)-1),ROW()-1)),"")</f>
        <v>46753.37</v>
      </c>
      <c r="S268" t="str" cm="1">
        <f t="array" ref="S268">IFERROR(INDEX($L$2:$L$501,SMALL(IF($M$2:$M$501=0,ROW($M$2:$M$501)-1),ROW()-1)),"")</f>
        <v/>
      </c>
      <c r="U268" t="str" cm="1">
        <f t="array" ref="U268">IFERROR(INDEX($C$2:$C$501,SMALL(IF($D$2:$D$501="France",ROW($D$2:$D$501)-1),ROW()-1)),"")</f>
        <v/>
      </c>
      <c r="V268" t="str" cm="1">
        <f t="array" ref="V268">IFERROR(INDEX($C$2:$C$501,SMALL(IF($D$2:$D$501="Germany",ROW($D$2:$D$501)-1),ROW()-1)),"")</f>
        <v/>
      </c>
      <c r="W268" t="str" cm="1">
        <f t="array" ref="W268">IFERROR(INDEX($C$2:$C$501,SMALL(IF($D$2:$D$501="Spain",ROW($D$2:$D$501)-1),ROW()-1)),"")</f>
        <v/>
      </c>
    </row>
    <row r="269" spans="1:23" x14ac:dyDescent="0.35">
      <c r="A269">
        <v>268</v>
      </c>
      <c r="B269" t="s">
        <v>21</v>
      </c>
      <c r="C269">
        <v>455</v>
      </c>
      <c r="D269" t="s">
        <v>22</v>
      </c>
      <c r="E269" t="s">
        <v>26</v>
      </c>
      <c r="F269">
        <v>23</v>
      </c>
      <c r="G269">
        <v>9</v>
      </c>
      <c r="H269">
        <v>63959.82</v>
      </c>
      <c r="I269">
        <v>4</v>
      </c>
      <c r="J269">
        <v>0</v>
      </c>
      <c r="K269">
        <v>1</v>
      </c>
      <c r="L269">
        <v>124481.95</v>
      </c>
      <c r="M269">
        <v>0</v>
      </c>
      <c r="O269" t="str">
        <f t="shared" si="8"/>
        <v/>
      </c>
      <c r="P269">
        <f t="shared" si="9"/>
        <v>124481.95</v>
      </c>
      <c r="R269">
        <f t="array" ref="R269">IFERROR(INDEX($L$2:$L$501,SMALL(IF($M$2:$M$501=1,ROW($M$2:$M$501)-1),ROW()-1)),"")</f>
        <v>81684.84</v>
      </c>
      <c r="S269" t="str" cm="1">
        <f t="array" ref="S269">IFERROR(INDEX($L$2:$L$501,SMALL(IF($M$2:$M$501=0,ROW($M$2:$M$501)-1),ROW()-1)),"")</f>
        <v/>
      </c>
      <c r="U269" t="str" cm="1">
        <f t="array" ref="U269">IFERROR(INDEX($C$2:$C$501,SMALL(IF($D$2:$D$501="France",ROW($D$2:$D$501)-1),ROW()-1)),"")</f>
        <v/>
      </c>
      <c r="V269" t="str" cm="1">
        <f t="array" ref="V269">IFERROR(INDEX($C$2:$C$501,SMALL(IF($D$2:$D$501="Germany",ROW($D$2:$D$501)-1),ROW()-1)),"")</f>
        <v/>
      </c>
      <c r="W269" t="str" cm="1">
        <f t="array" ref="W269">IFERROR(INDEX($C$2:$C$501,SMALL(IF($D$2:$D$501="Spain",ROW($D$2:$D$501)-1),ROW()-1)),"")</f>
        <v/>
      </c>
    </row>
    <row r="270" spans="1:23" x14ac:dyDescent="0.35">
      <c r="A270">
        <v>269</v>
      </c>
      <c r="B270" t="s">
        <v>16</v>
      </c>
      <c r="C270">
        <v>544</v>
      </c>
      <c r="D270" t="s">
        <v>22</v>
      </c>
      <c r="E270" t="s">
        <v>25</v>
      </c>
      <c r="F270">
        <v>48</v>
      </c>
      <c r="G270">
        <v>1</v>
      </c>
      <c r="H270">
        <v>189398.99</v>
      </c>
      <c r="I270">
        <v>2</v>
      </c>
      <c r="J270">
        <v>1</v>
      </c>
      <c r="K270">
        <v>1</v>
      </c>
      <c r="L270">
        <v>106385.78</v>
      </c>
      <c r="M270">
        <v>1</v>
      </c>
      <c r="O270">
        <f t="shared" si="8"/>
        <v>106385.78</v>
      </c>
      <c r="P270" t="str">
        <f t="shared" si="9"/>
        <v/>
      </c>
      <c r="R270">
        <f t="array" ref="R270">IFERROR(INDEX($L$2:$L$501,SMALL(IF($M$2:$M$501=1,ROW($M$2:$M$501)-1),ROW()-1)),"")</f>
        <v>97382.98</v>
      </c>
      <c r="S270" t="str" cm="1">
        <f t="array" ref="S270">IFERROR(INDEX($L$2:$L$501,SMALL(IF($M$2:$M$501=0,ROW($M$2:$M$501)-1),ROW()-1)),"")</f>
        <v/>
      </c>
      <c r="U270" t="str" cm="1">
        <f t="array" ref="U270">IFERROR(INDEX($C$2:$C$501,SMALL(IF($D$2:$D$501="France",ROW($D$2:$D$501)-1),ROW()-1)),"")</f>
        <v/>
      </c>
      <c r="V270" t="str" cm="1">
        <f t="array" ref="V270">IFERROR(INDEX($C$2:$C$501,SMALL(IF($D$2:$D$501="Germany",ROW($D$2:$D$501)-1),ROW()-1)),"")</f>
        <v/>
      </c>
      <c r="W270" t="str" cm="1">
        <f t="array" ref="W270">IFERROR(INDEX($C$2:$C$501,SMALL(IF($D$2:$D$501="Spain",ROW($D$2:$D$501)-1),ROW()-1)),"")</f>
        <v/>
      </c>
    </row>
    <row r="271" spans="1:23" x14ac:dyDescent="0.35">
      <c r="A271">
        <v>270</v>
      </c>
      <c r="B271" t="s">
        <v>12</v>
      </c>
      <c r="C271">
        <v>575</v>
      </c>
      <c r="D271" t="s">
        <v>22</v>
      </c>
      <c r="E271" t="s">
        <v>25</v>
      </c>
      <c r="F271">
        <v>76</v>
      </c>
      <c r="G271">
        <v>5</v>
      </c>
      <c r="H271">
        <v>59505.51</v>
      </c>
      <c r="I271">
        <v>4</v>
      </c>
      <c r="J271">
        <v>1</v>
      </c>
      <c r="K271">
        <v>0</v>
      </c>
      <c r="L271">
        <v>116792.39</v>
      </c>
      <c r="M271">
        <v>1</v>
      </c>
      <c r="O271">
        <f t="shared" si="8"/>
        <v>116792.39</v>
      </c>
      <c r="P271" t="str">
        <f t="shared" si="9"/>
        <v/>
      </c>
      <c r="R271">
        <f t="array" ref="R271">IFERROR(INDEX($L$2:$L$501,SMALL(IF($M$2:$M$501=1,ROW($M$2:$M$501)-1),ROW()-1)),"")</f>
        <v>98955.37</v>
      </c>
      <c r="S271" t="str" cm="1">
        <f t="array" ref="S271">IFERROR(INDEX($L$2:$L$501,SMALL(IF($M$2:$M$501=0,ROW($M$2:$M$501)-1),ROW()-1)),"")</f>
        <v/>
      </c>
      <c r="U271" t="str" cm="1">
        <f t="array" ref="U271">IFERROR(INDEX($C$2:$C$501,SMALL(IF($D$2:$D$501="France",ROW($D$2:$D$501)-1),ROW()-1)),"")</f>
        <v/>
      </c>
      <c r="V271" t="str" cm="1">
        <f t="array" ref="V271">IFERROR(INDEX($C$2:$C$501,SMALL(IF($D$2:$D$501="Germany",ROW($D$2:$D$501)-1),ROW()-1)),"")</f>
        <v/>
      </c>
      <c r="W271" t="str" cm="1">
        <f t="array" ref="W271">IFERROR(INDEX($C$2:$C$501,SMALL(IF($D$2:$D$501="Spain",ROW($D$2:$D$501)-1),ROW()-1)),"")</f>
        <v/>
      </c>
    </row>
    <row r="272" spans="1:23" x14ac:dyDescent="0.35">
      <c r="A272">
        <v>271</v>
      </c>
      <c r="B272" t="s">
        <v>16</v>
      </c>
      <c r="C272">
        <v>490</v>
      </c>
      <c r="D272" t="s">
        <v>23</v>
      </c>
      <c r="E272" t="s">
        <v>26</v>
      </c>
      <c r="F272">
        <v>86</v>
      </c>
      <c r="G272">
        <v>3</v>
      </c>
      <c r="H272">
        <v>174710.86</v>
      </c>
      <c r="I272">
        <v>3</v>
      </c>
      <c r="J272">
        <v>1</v>
      </c>
      <c r="K272">
        <v>1</v>
      </c>
      <c r="L272">
        <v>72099.13</v>
      </c>
      <c r="M272">
        <v>1</v>
      </c>
      <c r="O272">
        <f t="shared" si="8"/>
        <v>72099.13</v>
      </c>
      <c r="P272" t="str">
        <f t="shared" si="9"/>
        <v/>
      </c>
      <c r="R272">
        <f t="array" ref="R272">IFERROR(INDEX($L$2:$L$501,SMALL(IF($M$2:$M$501=1,ROW($M$2:$M$501)-1),ROW()-1)),"")</f>
        <v>106391.64</v>
      </c>
      <c r="S272" t="str" cm="1">
        <f t="array" ref="S272">IFERROR(INDEX($L$2:$L$501,SMALL(IF($M$2:$M$501=0,ROW($M$2:$M$501)-1),ROW()-1)),"")</f>
        <v/>
      </c>
      <c r="U272" t="str" cm="1">
        <f t="array" ref="U272">IFERROR(INDEX($C$2:$C$501,SMALL(IF($D$2:$D$501="France",ROW($D$2:$D$501)-1),ROW()-1)),"")</f>
        <v/>
      </c>
      <c r="V272" t="str" cm="1">
        <f t="array" ref="V272">IFERROR(INDEX($C$2:$C$501,SMALL(IF($D$2:$D$501="Germany",ROW($D$2:$D$501)-1),ROW()-1)),"")</f>
        <v/>
      </c>
      <c r="W272" t="str" cm="1">
        <f t="array" ref="W272">IFERROR(INDEX($C$2:$C$501,SMALL(IF($D$2:$D$501="Spain",ROW($D$2:$D$501)-1),ROW()-1)),"")</f>
        <v/>
      </c>
    </row>
    <row r="273" spans="1:23" x14ac:dyDescent="0.35">
      <c r="A273">
        <v>272</v>
      </c>
      <c r="B273" t="s">
        <v>16</v>
      </c>
      <c r="C273">
        <v>621</v>
      </c>
      <c r="D273" t="s">
        <v>24</v>
      </c>
      <c r="E273" t="s">
        <v>26</v>
      </c>
      <c r="F273">
        <v>77</v>
      </c>
      <c r="G273">
        <v>7</v>
      </c>
      <c r="H273">
        <v>148341.38</v>
      </c>
      <c r="I273">
        <v>2</v>
      </c>
      <c r="J273">
        <v>0</v>
      </c>
      <c r="K273">
        <v>1</v>
      </c>
      <c r="L273">
        <v>26002.71</v>
      </c>
      <c r="M273">
        <v>1</v>
      </c>
      <c r="O273">
        <f t="shared" si="8"/>
        <v>26002.71</v>
      </c>
      <c r="P273" t="str">
        <f t="shared" si="9"/>
        <v/>
      </c>
      <c r="R273">
        <f t="array" ref="R273">IFERROR(INDEX($L$2:$L$501,SMALL(IF($M$2:$M$501=1,ROW($M$2:$M$501)-1),ROW()-1)),"")</f>
        <v>85565.14</v>
      </c>
      <c r="S273" t="str" cm="1">
        <f t="array" ref="S273">IFERROR(INDEX($L$2:$L$501,SMALL(IF($M$2:$M$501=0,ROW($M$2:$M$501)-1),ROW()-1)),"")</f>
        <v/>
      </c>
      <c r="U273" t="str" cm="1">
        <f t="array" ref="U273">IFERROR(INDEX($C$2:$C$501,SMALL(IF($D$2:$D$501="France",ROW($D$2:$D$501)-1),ROW()-1)),"")</f>
        <v/>
      </c>
      <c r="V273" t="str" cm="1">
        <f t="array" ref="V273">IFERROR(INDEX($C$2:$C$501,SMALL(IF($D$2:$D$501="Germany",ROW($D$2:$D$501)-1),ROW()-1)),"")</f>
        <v/>
      </c>
      <c r="W273" t="str" cm="1">
        <f t="array" ref="W273">IFERROR(INDEX($C$2:$C$501,SMALL(IF($D$2:$D$501="Spain",ROW($D$2:$D$501)-1),ROW()-1)),"")</f>
        <v/>
      </c>
    </row>
    <row r="274" spans="1:23" x14ac:dyDescent="0.35">
      <c r="A274">
        <v>273</v>
      </c>
      <c r="B274" t="s">
        <v>17</v>
      </c>
      <c r="C274">
        <v>468</v>
      </c>
      <c r="D274" t="s">
        <v>24</v>
      </c>
      <c r="E274" t="s">
        <v>25</v>
      </c>
      <c r="F274">
        <v>50</v>
      </c>
      <c r="G274">
        <v>4</v>
      </c>
      <c r="H274">
        <v>36270.720000000001</v>
      </c>
      <c r="I274">
        <v>4</v>
      </c>
      <c r="J274">
        <v>0</v>
      </c>
      <c r="K274">
        <v>0</v>
      </c>
      <c r="L274">
        <v>48088.94</v>
      </c>
      <c r="M274">
        <v>1</v>
      </c>
      <c r="O274">
        <f t="shared" si="8"/>
        <v>48088.94</v>
      </c>
      <c r="P274" t="str">
        <f t="shared" si="9"/>
        <v/>
      </c>
      <c r="R274" t="str">
        <f t="array" ref="R274">IFERROR(INDEX($L$2:$L$501,SMALL(IF($M$2:$M$501=1,ROW($M$2:$M$501)-1),ROW()-1)),"")</f>
        <v/>
      </c>
      <c r="S274" t="str" cm="1">
        <f t="array" ref="S274">IFERROR(INDEX($L$2:$L$501,SMALL(IF($M$2:$M$501=0,ROW($M$2:$M$501)-1),ROW()-1)),"")</f>
        <v/>
      </c>
      <c r="U274" t="str" cm="1">
        <f t="array" ref="U274">IFERROR(INDEX($C$2:$C$501,SMALL(IF($D$2:$D$501="France",ROW($D$2:$D$501)-1),ROW()-1)),"")</f>
        <v/>
      </c>
      <c r="V274" t="str" cm="1">
        <f t="array" ref="V274">IFERROR(INDEX($C$2:$C$501,SMALL(IF($D$2:$D$501="Germany",ROW($D$2:$D$501)-1),ROW()-1)),"")</f>
        <v/>
      </c>
      <c r="W274" t="str" cm="1">
        <f t="array" ref="W274">IFERROR(INDEX($C$2:$C$501,SMALL(IF($D$2:$D$501="Spain",ROW($D$2:$D$501)-1),ROW()-1)),"")</f>
        <v/>
      </c>
    </row>
    <row r="275" spans="1:23" x14ac:dyDescent="0.35">
      <c r="A275">
        <v>274</v>
      </c>
      <c r="B275" t="s">
        <v>13</v>
      </c>
      <c r="C275">
        <v>383</v>
      </c>
      <c r="D275" t="s">
        <v>24</v>
      </c>
      <c r="E275" t="s">
        <v>25</v>
      </c>
      <c r="F275">
        <v>55</v>
      </c>
      <c r="G275">
        <v>10</v>
      </c>
      <c r="H275">
        <v>190927.15</v>
      </c>
      <c r="I275">
        <v>3</v>
      </c>
      <c r="J275">
        <v>1</v>
      </c>
      <c r="K275">
        <v>0</v>
      </c>
      <c r="L275">
        <v>88503.02</v>
      </c>
      <c r="M275">
        <v>1</v>
      </c>
      <c r="O275">
        <f t="shared" si="8"/>
        <v>88503.02</v>
      </c>
      <c r="P275" t="str">
        <f t="shared" si="9"/>
        <v/>
      </c>
      <c r="R275" t="str">
        <f t="array" ref="R275">IFERROR(INDEX($L$2:$L$501,SMALL(IF($M$2:$M$501=1,ROW($M$2:$M$501)-1),ROW()-1)),"")</f>
        <v/>
      </c>
      <c r="S275" t="str" cm="1">
        <f t="array" ref="S275">IFERROR(INDEX($L$2:$L$501,SMALL(IF($M$2:$M$501=0,ROW($M$2:$M$501)-1),ROW()-1)),"")</f>
        <v/>
      </c>
      <c r="U275" t="str" cm="1">
        <f t="array" ref="U275">IFERROR(INDEX($C$2:$C$501,SMALL(IF($D$2:$D$501="France",ROW($D$2:$D$501)-1),ROW()-1)),"")</f>
        <v/>
      </c>
      <c r="V275" t="str" cm="1">
        <f t="array" ref="V275">IFERROR(INDEX($C$2:$C$501,SMALL(IF($D$2:$D$501="Germany",ROW($D$2:$D$501)-1),ROW()-1)),"")</f>
        <v/>
      </c>
      <c r="W275" t="str" cm="1">
        <f t="array" ref="W275">IFERROR(INDEX($C$2:$C$501,SMALL(IF($D$2:$D$501="Spain",ROW($D$2:$D$501)-1),ROW()-1)),"")</f>
        <v/>
      </c>
    </row>
    <row r="276" spans="1:23" x14ac:dyDescent="0.35">
      <c r="A276">
        <v>275</v>
      </c>
      <c r="B276" t="s">
        <v>16</v>
      </c>
      <c r="C276">
        <v>501</v>
      </c>
      <c r="D276" t="s">
        <v>24</v>
      </c>
      <c r="E276" t="s">
        <v>25</v>
      </c>
      <c r="F276">
        <v>61</v>
      </c>
      <c r="G276">
        <v>2</v>
      </c>
      <c r="H276">
        <v>213218.12</v>
      </c>
      <c r="I276">
        <v>1</v>
      </c>
      <c r="J276">
        <v>1</v>
      </c>
      <c r="K276">
        <v>0</v>
      </c>
      <c r="L276">
        <v>140183.29</v>
      </c>
      <c r="M276">
        <v>0</v>
      </c>
      <c r="O276" t="str">
        <f t="shared" si="8"/>
        <v/>
      </c>
      <c r="P276">
        <f t="shared" si="9"/>
        <v>140183.29</v>
      </c>
      <c r="R276" t="str">
        <f t="array" ref="R276">IFERROR(INDEX($L$2:$L$501,SMALL(IF($M$2:$M$501=1,ROW($M$2:$M$501)-1),ROW()-1)),"")</f>
        <v/>
      </c>
      <c r="S276" t="str" cm="1">
        <f t="array" ref="S276">IFERROR(INDEX($L$2:$L$501,SMALL(IF($M$2:$M$501=0,ROW($M$2:$M$501)-1),ROW()-1)),"")</f>
        <v/>
      </c>
      <c r="U276" t="str" cm="1">
        <f t="array" ref="U276">IFERROR(INDEX($C$2:$C$501,SMALL(IF($D$2:$D$501="France",ROW($D$2:$D$501)-1),ROW()-1)),"")</f>
        <v/>
      </c>
      <c r="V276" t="str" cm="1">
        <f t="array" ref="V276">IFERROR(INDEX($C$2:$C$501,SMALL(IF($D$2:$D$501="Germany",ROW($D$2:$D$501)-1),ROW()-1)),"")</f>
        <v/>
      </c>
      <c r="W276" t="str" cm="1">
        <f t="array" ref="W276">IFERROR(INDEX($C$2:$C$501,SMALL(IF($D$2:$D$501="Spain",ROW($D$2:$D$501)-1),ROW()-1)),"")</f>
        <v/>
      </c>
    </row>
    <row r="277" spans="1:23" x14ac:dyDescent="0.35">
      <c r="A277">
        <v>276</v>
      </c>
      <c r="B277" t="s">
        <v>21</v>
      </c>
      <c r="C277">
        <v>746</v>
      </c>
      <c r="D277" t="s">
        <v>24</v>
      </c>
      <c r="E277" t="s">
        <v>25</v>
      </c>
      <c r="F277">
        <v>78</v>
      </c>
      <c r="G277">
        <v>0</v>
      </c>
      <c r="H277">
        <v>238996.86</v>
      </c>
      <c r="I277">
        <v>2</v>
      </c>
      <c r="J277">
        <v>1</v>
      </c>
      <c r="K277">
        <v>0</v>
      </c>
      <c r="L277">
        <v>105194.71</v>
      </c>
      <c r="M277">
        <v>0</v>
      </c>
      <c r="O277" t="str">
        <f t="shared" si="8"/>
        <v/>
      </c>
      <c r="P277">
        <f t="shared" si="9"/>
        <v>105194.71</v>
      </c>
      <c r="R277" t="str">
        <f t="array" ref="R277">IFERROR(INDEX($L$2:$L$501,SMALL(IF($M$2:$M$501=1,ROW($M$2:$M$501)-1),ROW()-1)),"")</f>
        <v/>
      </c>
      <c r="S277" t="str" cm="1">
        <f t="array" ref="S277">IFERROR(INDEX($L$2:$L$501,SMALL(IF($M$2:$M$501=0,ROW($M$2:$M$501)-1),ROW()-1)),"")</f>
        <v/>
      </c>
      <c r="U277" t="str" cm="1">
        <f t="array" ref="U277">IFERROR(INDEX($C$2:$C$501,SMALL(IF($D$2:$D$501="France",ROW($D$2:$D$501)-1),ROW()-1)),"")</f>
        <v/>
      </c>
      <c r="V277" t="str" cm="1">
        <f t="array" ref="V277">IFERROR(INDEX($C$2:$C$501,SMALL(IF($D$2:$D$501="Germany",ROW($D$2:$D$501)-1),ROW()-1)),"")</f>
        <v/>
      </c>
      <c r="W277" t="str" cm="1">
        <f t="array" ref="W277">IFERROR(INDEX($C$2:$C$501,SMALL(IF($D$2:$D$501="Spain",ROW($D$2:$D$501)-1),ROW()-1)),"")</f>
        <v/>
      </c>
    </row>
    <row r="278" spans="1:23" x14ac:dyDescent="0.35">
      <c r="A278">
        <v>277</v>
      </c>
      <c r="B278" t="s">
        <v>16</v>
      </c>
      <c r="C278">
        <v>739</v>
      </c>
      <c r="D278" t="s">
        <v>24</v>
      </c>
      <c r="E278" t="s">
        <v>25</v>
      </c>
      <c r="F278">
        <v>63</v>
      </c>
      <c r="G278">
        <v>9</v>
      </c>
      <c r="H278">
        <v>239749.84</v>
      </c>
      <c r="I278">
        <v>1</v>
      </c>
      <c r="J278">
        <v>0</v>
      </c>
      <c r="K278">
        <v>0</v>
      </c>
      <c r="L278">
        <v>35871.660000000003</v>
      </c>
      <c r="M278">
        <v>0</v>
      </c>
      <c r="O278" t="str">
        <f t="shared" si="8"/>
        <v/>
      </c>
      <c r="P278">
        <f t="shared" si="9"/>
        <v>35871.660000000003</v>
      </c>
      <c r="R278" t="str">
        <f t="array" ref="R278">IFERROR(INDEX($L$2:$L$501,SMALL(IF($M$2:$M$501=1,ROW($M$2:$M$501)-1),ROW()-1)),"")</f>
        <v/>
      </c>
      <c r="S278" t="str" cm="1">
        <f t="array" ref="S278">IFERROR(INDEX($L$2:$L$501,SMALL(IF($M$2:$M$501=0,ROW($M$2:$M$501)-1),ROW()-1)),"")</f>
        <v/>
      </c>
      <c r="U278" t="str" cm="1">
        <f t="array" ref="U278">IFERROR(INDEX($C$2:$C$501,SMALL(IF($D$2:$D$501="France",ROW($D$2:$D$501)-1),ROW()-1)),"")</f>
        <v/>
      </c>
      <c r="V278" t="str" cm="1">
        <f t="array" ref="V278">IFERROR(INDEX($C$2:$C$501,SMALL(IF($D$2:$D$501="Germany",ROW($D$2:$D$501)-1),ROW()-1)),"")</f>
        <v/>
      </c>
      <c r="W278" t="str" cm="1">
        <f t="array" ref="W278">IFERROR(INDEX($C$2:$C$501,SMALL(IF($D$2:$D$501="Spain",ROW($D$2:$D$501)-1),ROW()-1)),"")</f>
        <v/>
      </c>
    </row>
    <row r="279" spans="1:23" x14ac:dyDescent="0.35">
      <c r="A279">
        <v>278</v>
      </c>
      <c r="B279" t="s">
        <v>13</v>
      </c>
      <c r="C279">
        <v>388</v>
      </c>
      <c r="D279" t="s">
        <v>24</v>
      </c>
      <c r="E279" t="s">
        <v>26</v>
      </c>
      <c r="F279">
        <v>47</v>
      </c>
      <c r="G279">
        <v>2</v>
      </c>
      <c r="H279">
        <v>176592.7</v>
      </c>
      <c r="I279">
        <v>4</v>
      </c>
      <c r="J279">
        <v>0</v>
      </c>
      <c r="K279">
        <v>0</v>
      </c>
      <c r="L279">
        <v>75036.289999999994</v>
      </c>
      <c r="M279">
        <v>1</v>
      </c>
      <c r="O279">
        <f t="shared" si="8"/>
        <v>75036.289999999994</v>
      </c>
      <c r="P279" t="str">
        <f t="shared" si="9"/>
        <v/>
      </c>
      <c r="R279" t="str">
        <f t="array" ref="R279">IFERROR(INDEX($L$2:$L$501,SMALL(IF($M$2:$M$501=1,ROW($M$2:$M$501)-1),ROW()-1)),"")</f>
        <v/>
      </c>
      <c r="S279" t="str" cm="1">
        <f t="array" ref="S279">IFERROR(INDEX($L$2:$L$501,SMALL(IF($M$2:$M$501=0,ROW($M$2:$M$501)-1),ROW()-1)),"")</f>
        <v/>
      </c>
      <c r="U279" t="str" cm="1">
        <f t="array" ref="U279">IFERROR(INDEX($C$2:$C$501,SMALL(IF($D$2:$D$501="France",ROW($D$2:$D$501)-1),ROW()-1)),"")</f>
        <v/>
      </c>
      <c r="V279" t="str" cm="1">
        <f t="array" ref="V279">IFERROR(INDEX($C$2:$C$501,SMALL(IF($D$2:$D$501="Germany",ROW($D$2:$D$501)-1),ROW()-1)),"")</f>
        <v/>
      </c>
      <c r="W279" t="str" cm="1">
        <f t="array" ref="W279">IFERROR(INDEX($C$2:$C$501,SMALL(IF($D$2:$D$501="Spain",ROW($D$2:$D$501)-1),ROW()-1)),"")</f>
        <v/>
      </c>
    </row>
    <row r="280" spans="1:23" x14ac:dyDescent="0.35">
      <c r="A280">
        <v>279</v>
      </c>
      <c r="B280" t="s">
        <v>19</v>
      </c>
      <c r="C280">
        <v>607</v>
      </c>
      <c r="D280" t="s">
        <v>23</v>
      </c>
      <c r="E280" t="s">
        <v>26</v>
      </c>
      <c r="F280">
        <v>45</v>
      </c>
      <c r="G280">
        <v>2</v>
      </c>
      <c r="H280">
        <v>72836.13</v>
      </c>
      <c r="I280">
        <v>3</v>
      </c>
      <c r="J280">
        <v>1</v>
      </c>
      <c r="K280">
        <v>1</v>
      </c>
      <c r="L280">
        <v>127236.12</v>
      </c>
      <c r="M280">
        <v>1</v>
      </c>
      <c r="O280">
        <f t="shared" si="8"/>
        <v>127236.12</v>
      </c>
      <c r="P280" t="str">
        <f t="shared" si="9"/>
        <v/>
      </c>
      <c r="R280" t="str">
        <f t="array" ref="R280">IFERROR(INDEX($L$2:$L$501,SMALL(IF($M$2:$M$501=1,ROW($M$2:$M$501)-1),ROW()-1)),"")</f>
        <v/>
      </c>
      <c r="S280" t="str" cm="1">
        <f t="array" ref="S280">IFERROR(INDEX($L$2:$L$501,SMALL(IF($M$2:$M$501=0,ROW($M$2:$M$501)-1),ROW()-1)),"")</f>
        <v/>
      </c>
      <c r="U280" t="str" cm="1">
        <f t="array" ref="U280">IFERROR(INDEX($C$2:$C$501,SMALL(IF($D$2:$D$501="France",ROW($D$2:$D$501)-1),ROW()-1)),"")</f>
        <v/>
      </c>
      <c r="V280" t="str" cm="1">
        <f t="array" ref="V280">IFERROR(INDEX($C$2:$C$501,SMALL(IF($D$2:$D$501="Germany",ROW($D$2:$D$501)-1),ROW()-1)),"")</f>
        <v/>
      </c>
      <c r="W280" t="str" cm="1">
        <f t="array" ref="W280">IFERROR(INDEX($C$2:$C$501,SMALL(IF($D$2:$D$501="Spain",ROW($D$2:$D$501)-1),ROW()-1)),"")</f>
        <v/>
      </c>
    </row>
    <row r="281" spans="1:23" x14ac:dyDescent="0.35">
      <c r="A281">
        <v>280</v>
      </c>
      <c r="B281" t="s">
        <v>13</v>
      </c>
      <c r="C281">
        <v>616</v>
      </c>
      <c r="D281" t="s">
        <v>24</v>
      </c>
      <c r="E281" t="s">
        <v>25</v>
      </c>
      <c r="F281">
        <v>45</v>
      </c>
      <c r="G281">
        <v>9</v>
      </c>
      <c r="H281">
        <v>9477.92</v>
      </c>
      <c r="I281">
        <v>3</v>
      </c>
      <c r="J281">
        <v>1</v>
      </c>
      <c r="K281">
        <v>1</v>
      </c>
      <c r="L281">
        <v>23547.86</v>
      </c>
      <c r="M281">
        <v>1</v>
      </c>
      <c r="O281">
        <f t="shared" si="8"/>
        <v>23547.86</v>
      </c>
      <c r="P281" t="str">
        <f t="shared" si="9"/>
        <v/>
      </c>
      <c r="R281" t="str">
        <f t="array" ref="R281">IFERROR(INDEX($L$2:$L$501,SMALL(IF($M$2:$M$501=1,ROW($M$2:$M$501)-1),ROW()-1)),"")</f>
        <v/>
      </c>
      <c r="S281" t="str" cm="1">
        <f t="array" ref="S281">IFERROR(INDEX($L$2:$L$501,SMALL(IF($M$2:$M$501=0,ROW($M$2:$M$501)-1),ROW()-1)),"")</f>
        <v/>
      </c>
      <c r="U281" t="str" cm="1">
        <f t="array" ref="U281">IFERROR(INDEX($C$2:$C$501,SMALL(IF($D$2:$D$501="France",ROW($D$2:$D$501)-1),ROW()-1)),"")</f>
        <v/>
      </c>
      <c r="V281" t="str" cm="1">
        <f t="array" ref="V281">IFERROR(INDEX($C$2:$C$501,SMALL(IF($D$2:$D$501="Germany",ROW($D$2:$D$501)-1),ROW()-1)),"")</f>
        <v/>
      </c>
      <c r="W281" t="str" cm="1">
        <f t="array" ref="W281">IFERROR(INDEX($C$2:$C$501,SMALL(IF($D$2:$D$501="Spain",ROW($D$2:$D$501)-1),ROW()-1)),"")</f>
        <v/>
      </c>
    </row>
    <row r="282" spans="1:23" x14ac:dyDescent="0.35">
      <c r="A282">
        <v>281</v>
      </c>
      <c r="B282" t="s">
        <v>18</v>
      </c>
      <c r="C282">
        <v>356</v>
      </c>
      <c r="D282" t="s">
        <v>24</v>
      </c>
      <c r="E282" t="s">
        <v>26</v>
      </c>
      <c r="F282">
        <v>47</v>
      </c>
      <c r="G282">
        <v>6</v>
      </c>
      <c r="H282">
        <v>97557.6</v>
      </c>
      <c r="I282">
        <v>3</v>
      </c>
      <c r="J282">
        <v>0</v>
      </c>
      <c r="K282">
        <v>1</v>
      </c>
      <c r="L282">
        <v>21082.35</v>
      </c>
      <c r="M282">
        <v>1</v>
      </c>
      <c r="O282">
        <f t="shared" si="8"/>
        <v>21082.35</v>
      </c>
      <c r="P282" t="str">
        <f t="shared" si="9"/>
        <v/>
      </c>
      <c r="R282" t="str">
        <f t="array" ref="R282">IFERROR(INDEX($L$2:$L$501,SMALL(IF($M$2:$M$501=1,ROW($M$2:$M$501)-1),ROW()-1)),"")</f>
        <v/>
      </c>
      <c r="S282" t="str" cm="1">
        <f t="array" ref="S282">IFERROR(INDEX($L$2:$L$501,SMALL(IF($M$2:$M$501=0,ROW($M$2:$M$501)-1),ROW()-1)),"")</f>
        <v/>
      </c>
      <c r="U282" t="str" cm="1">
        <f t="array" ref="U282">IFERROR(INDEX($C$2:$C$501,SMALL(IF($D$2:$D$501="France",ROW($D$2:$D$501)-1),ROW()-1)),"")</f>
        <v/>
      </c>
      <c r="V282" t="str" cm="1">
        <f t="array" ref="V282">IFERROR(INDEX($C$2:$C$501,SMALL(IF($D$2:$D$501="Germany",ROW($D$2:$D$501)-1),ROW()-1)),"")</f>
        <v/>
      </c>
      <c r="W282" t="str" cm="1">
        <f t="array" ref="W282">IFERROR(INDEX($C$2:$C$501,SMALL(IF($D$2:$D$501="Spain",ROW($D$2:$D$501)-1),ROW()-1)),"")</f>
        <v/>
      </c>
    </row>
    <row r="283" spans="1:23" x14ac:dyDescent="0.35">
      <c r="A283">
        <v>282</v>
      </c>
      <c r="B283" t="s">
        <v>20</v>
      </c>
      <c r="C283">
        <v>731</v>
      </c>
      <c r="D283" t="s">
        <v>24</v>
      </c>
      <c r="E283" t="s">
        <v>26</v>
      </c>
      <c r="F283">
        <v>90</v>
      </c>
      <c r="G283">
        <v>8</v>
      </c>
      <c r="H283">
        <v>183281.65</v>
      </c>
      <c r="I283">
        <v>1</v>
      </c>
      <c r="J283">
        <v>1</v>
      </c>
      <c r="K283">
        <v>1</v>
      </c>
      <c r="L283">
        <v>141248.29</v>
      </c>
      <c r="M283">
        <v>1</v>
      </c>
      <c r="O283">
        <f t="shared" si="8"/>
        <v>141248.29</v>
      </c>
      <c r="P283" t="str">
        <f t="shared" si="9"/>
        <v/>
      </c>
      <c r="R283" t="str">
        <f t="array" ref="R283">IFERROR(INDEX($L$2:$L$501,SMALL(IF($M$2:$M$501=1,ROW($M$2:$M$501)-1),ROW()-1)),"")</f>
        <v/>
      </c>
      <c r="S283" t="str" cm="1">
        <f t="array" ref="S283">IFERROR(INDEX($L$2:$L$501,SMALL(IF($M$2:$M$501=0,ROW($M$2:$M$501)-1),ROW()-1)),"")</f>
        <v/>
      </c>
      <c r="U283" t="str" cm="1">
        <f t="array" ref="U283">IFERROR(INDEX($C$2:$C$501,SMALL(IF($D$2:$D$501="France",ROW($D$2:$D$501)-1),ROW()-1)),"")</f>
        <v/>
      </c>
      <c r="V283" t="str" cm="1">
        <f t="array" ref="V283">IFERROR(INDEX($C$2:$C$501,SMALL(IF($D$2:$D$501="Germany",ROW($D$2:$D$501)-1),ROW()-1)),"")</f>
        <v/>
      </c>
      <c r="W283" t="str" cm="1">
        <f t="array" ref="W283">IFERROR(INDEX($C$2:$C$501,SMALL(IF($D$2:$D$501="Spain",ROW($D$2:$D$501)-1),ROW()-1)),"")</f>
        <v/>
      </c>
    </row>
    <row r="284" spans="1:23" x14ac:dyDescent="0.35">
      <c r="A284">
        <v>283</v>
      </c>
      <c r="B284" t="s">
        <v>18</v>
      </c>
      <c r="C284">
        <v>612</v>
      </c>
      <c r="D284" t="s">
        <v>23</v>
      </c>
      <c r="E284" t="s">
        <v>25</v>
      </c>
      <c r="F284">
        <v>56</v>
      </c>
      <c r="G284">
        <v>9</v>
      </c>
      <c r="H284">
        <v>235159.65</v>
      </c>
      <c r="I284">
        <v>3</v>
      </c>
      <c r="J284">
        <v>0</v>
      </c>
      <c r="K284">
        <v>1</v>
      </c>
      <c r="L284">
        <v>132280.03</v>
      </c>
      <c r="M284">
        <v>1</v>
      </c>
      <c r="O284">
        <f t="shared" si="8"/>
        <v>132280.03</v>
      </c>
      <c r="P284" t="str">
        <f t="shared" si="9"/>
        <v/>
      </c>
      <c r="R284" t="str">
        <f t="array" ref="R284">IFERROR(INDEX($L$2:$L$501,SMALL(IF($M$2:$M$501=1,ROW($M$2:$M$501)-1),ROW()-1)),"")</f>
        <v/>
      </c>
      <c r="S284" t="str" cm="1">
        <f t="array" ref="S284">IFERROR(INDEX($L$2:$L$501,SMALL(IF($M$2:$M$501=0,ROW($M$2:$M$501)-1),ROW()-1)),"")</f>
        <v/>
      </c>
      <c r="U284" t="str" cm="1">
        <f t="array" ref="U284">IFERROR(INDEX($C$2:$C$501,SMALL(IF($D$2:$D$501="France",ROW($D$2:$D$501)-1),ROW()-1)),"")</f>
        <v/>
      </c>
      <c r="V284" t="str" cm="1">
        <f t="array" ref="V284">IFERROR(INDEX($C$2:$C$501,SMALL(IF($D$2:$D$501="Germany",ROW($D$2:$D$501)-1),ROW()-1)),"")</f>
        <v/>
      </c>
      <c r="W284" t="str" cm="1">
        <f t="array" ref="W284">IFERROR(INDEX($C$2:$C$501,SMALL(IF($D$2:$D$501="Spain",ROW($D$2:$D$501)-1),ROW()-1)),"")</f>
        <v/>
      </c>
    </row>
    <row r="285" spans="1:23" x14ac:dyDescent="0.35">
      <c r="A285">
        <v>284</v>
      </c>
      <c r="B285" t="s">
        <v>14</v>
      </c>
      <c r="C285">
        <v>452</v>
      </c>
      <c r="D285" t="s">
        <v>24</v>
      </c>
      <c r="E285" t="s">
        <v>25</v>
      </c>
      <c r="F285">
        <v>29</v>
      </c>
      <c r="G285">
        <v>1</v>
      </c>
      <c r="H285">
        <v>28385.09</v>
      </c>
      <c r="I285">
        <v>3</v>
      </c>
      <c r="J285">
        <v>0</v>
      </c>
      <c r="K285">
        <v>1</v>
      </c>
      <c r="L285">
        <v>70010.28</v>
      </c>
      <c r="M285">
        <v>0</v>
      </c>
      <c r="O285" t="str">
        <f t="shared" si="8"/>
        <v/>
      </c>
      <c r="P285">
        <f t="shared" si="9"/>
        <v>70010.28</v>
      </c>
      <c r="R285" t="str">
        <f t="array" ref="R285">IFERROR(INDEX($L$2:$L$501,SMALL(IF($M$2:$M$501=1,ROW($M$2:$M$501)-1),ROW()-1)),"")</f>
        <v/>
      </c>
      <c r="S285" t="str" cm="1">
        <f t="array" ref="S285">IFERROR(INDEX($L$2:$L$501,SMALL(IF($M$2:$M$501=0,ROW($M$2:$M$501)-1),ROW()-1)),"")</f>
        <v/>
      </c>
      <c r="U285" t="str" cm="1">
        <f t="array" ref="U285">IFERROR(INDEX($C$2:$C$501,SMALL(IF($D$2:$D$501="France",ROW($D$2:$D$501)-1),ROW()-1)),"")</f>
        <v/>
      </c>
      <c r="V285" t="str" cm="1">
        <f t="array" ref="V285">IFERROR(INDEX($C$2:$C$501,SMALL(IF($D$2:$D$501="Germany",ROW($D$2:$D$501)-1),ROW()-1)),"")</f>
        <v/>
      </c>
      <c r="W285" t="str" cm="1">
        <f t="array" ref="W285">IFERROR(INDEX($C$2:$C$501,SMALL(IF($D$2:$D$501="Spain",ROW($D$2:$D$501)-1),ROW()-1)),"")</f>
        <v/>
      </c>
    </row>
    <row r="286" spans="1:23" x14ac:dyDescent="0.35">
      <c r="A286">
        <v>285</v>
      </c>
      <c r="B286" t="s">
        <v>14</v>
      </c>
      <c r="C286">
        <v>772</v>
      </c>
      <c r="D286" t="s">
        <v>23</v>
      </c>
      <c r="E286" t="s">
        <v>25</v>
      </c>
      <c r="F286">
        <v>50</v>
      </c>
      <c r="G286">
        <v>1</v>
      </c>
      <c r="H286">
        <v>135560.49</v>
      </c>
      <c r="I286">
        <v>1</v>
      </c>
      <c r="J286">
        <v>0</v>
      </c>
      <c r="K286">
        <v>0</v>
      </c>
      <c r="L286">
        <v>111365.93</v>
      </c>
      <c r="M286">
        <v>1</v>
      </c>
      <c r="O286">
        <f t="shared" si="8"/>
        <v>111365.93</v>
      </c>
      <c r="P286" t="str">
        <f t="shared" si="9"/>
        <v/>
      </c>
      <c r="R286" t="str">
        <f t="array" ref="R286">IFERROR(INDEX($L$2:$L$501,SMALL(IF($M$2:$M$501=1,ROW($M$2:$M$501)-1),ROW()-1)),"")</f>
        <v/>
      </c>
      <c r="S286" t="str" cm="1">
        <f t="array" ref="S286">IFERROR(INDEX($L$2:$L$501,SMALL(IF($M$2:$M$501=0,ROW($M$2:$M$501)-1),ROW()-1)),"")</f>
        <v/>
      </c>
      <c r="U286" t="str" cm="1">
        <f t="array" ref="U286">IFERROR(INDEX($C$2:$C$501,SMALL(IF($D$2:$D$501="France",ROW($D$2:$D$501)-1),ROW()-1)),"")</f>
        <v/>
      </c>
      <c r="V286" t="str" cm="1">
        <f t="array" ref="V286">IFERROR(INDEX($C$2:$C$501,SMALL(IF($D$2:$D$501="Germany",ROW($D$2:$D$501)-1),ROW()-1)),"")</f>
        <v/>
      </c>
      <c r="W286" t="str" cm="1">
        <f t="array" ref="W286">IFERROR(INDEX($C$2:$C$501,SMALL(IF($D$2:$D$501="Spain",ROW($D$2:$D$501)-1),ROW()-1)),"")</f>
        <v/>
      </c>
    </row>
    <row r="287" spans="1:23" x14ac:dyDescent="0.35">
      <c r="A287">
        <v>286</v>
      </c>
      <c r="B287" t="s">
        <v>20</v>
      </c>
      <c r="C287">
        <v>681</v>
      </c>
      <c r="D287" t="s">
        <v>23</v>
      </c>
      <c r="E287" t="s">
        <v>26</v>
      </c>
      <c r="F287">
        <v>68</v>
      </c>
      <c r="G287">
        <v>1</v>
      </c>
      <c r="H287">
        <v>118693.43</v>
      </c>
      <c r="I287">
        <v>1</v>
      </c>
      <c r="J287">
        <v>1</v>
      </c>
      <c r="K287">
        <v>1</v>
      </c>
      <c r="L287">
        <v>119809.36</v>
      </c>
      <c r="M287">
        <v>1</v>
      </c>
      <c r="O287">
        <f t="shared" si="8"/>
        <v>119809.36</v>
      </c>
      <c r="P287" t="str">
        <f t="shared" si="9"/>
        <v/>
      </c>
      <c r="R287" t="str">
        <f t="array" ref="R287">IFERROR(INDEX($L$2:$L$501,SMALL(IF($M$2:$M$501=1,ROW($M$2:$M$501)-1),ROW()-1)),"")</f>
        <v/>
      </c>
      <c r="S287" t="str" cm="1">
        <f t="array" ref="S287">IFERROR(INDEX($L$2:$L$501,SMALL(IF($M$2:$M$501=0,ROW($M$2:$M$501)-1),ROW()-1)),"")</f>
        <v/>
      </c>
      <c r="U287" t="str" cm="1">
        <f t="array" ref="U287">IFERROR(INDEX($C$2:$C$501,SMALL(IF($D$2:$D$501="France",ROW($D$2:$D$501)-1),ROW()-1)),"")</f>
        <v/>
      </c>
      <c r="V287" t="str" cm="1">
        <f t="array" ref="V287">IFERROR(INDEX($C$2:$C$501,SMALL(IF($D$2:$D$501="Germany",ROW($D$2:$D$501)-1),ROW()-1)),"")</f>
        <v/>
      </c>
      <c r="W287" t="str" cm="1">
        <f t="array" ref="W287">IFERROR(INDEX($C$2:$C$501,SMALL(IF($D$2:$D$501="Spain",ROW($D$2:$D$501)-1),ROW()-1)),"")</f>
        <v/>
      </c>
    </row>
    <row r="288" spans="1:23" x14ac:dyDescent="0.35">
      <c r="A288">
        <v>287</v>
      </c>
      <c r="B288" t="s">
        <v>20</v>
      </c>
      <c r="C288">
        <v>720</v>
      </c>
      <c r="D288" t="s">
        <v>23</v>
      </c>
      <c r="E288" t="s">
        <v>25</v>
      </c>
      <c r="F288">
        <v>58</v>
      </c>
      <c r="G288">
        <v>0</v>
      </c>
      <c r="H288">
        <v>11432.08</v>
      </c>
      <c r="I288">
        <v>3</v>
      </c>
      <c r="J288">
        <v>0</v>
      </c>
      <c r="K288">
        <v>0</v>
      </c>
      <c r="L288">
        <v>56250.21</v>
      </c>
      <c r="M288">
        <v>1</v>
      </c>
      <c r="O288">
        <f t="shared" si="8"/>
        <v>56250.21</v>
      </c>
      <c r="P288" t="str">
        <f t="shared" si="9"/>
        <v/>
      </c>
      <c r="R288" t="str">
        <f t="array" ref="R288">IFERROR(INDEX($L$2:$L$501,SMALL(IF($M$2:$M$501=1,ROW($M$2:$M$501)-1),ROW()-1)),"")</f>
        <v/>
      </c>
      <c r="S288" t="str" cm="1">
        <f t="array" ref="S288">IFERROR(INDEX($L$2:$L$501,SMALL(IF($M$2:$M$501=0,ROW($M$2:$M$501)-1),ROW()-1)),"")</f>
        <v/>
      </c>
      <c r="U288" t="str" cm="1">
        <f t="array" ref="U288">IFERROR(INDEX($C$2:$C$501,SMALL(IF($D$2:$D$501="France",ROW($D$2:$D$501)-1),ROW()-1)),"")</f>
        <v/>
      </c>
      <c r="V288" t="str" cm="1">
        <f t="array" ref="V288">IFERROR(INDEX($C$2:$C$501,SMALL(IF($D$2:$D$501="Germany",ROW($D$2:$D$501)-1),ROW()-1)),"")</f>
        <v/>
      </c>
      <c r="W288" t="str" cm="1">
        <f t="array" ref="W288">IFERROR(INDEX($C$2:$C$501,SMALL(IF($D$2:$D$501="Spain",ROW($D$2:$D$501)-1),ROW()-1)),"")</f>
        <v/>
      </c>
    </row>
    <row r="289" spans="1:23" x14ac:dyDescent="0.35">
      <c r="A289">
        <v>288</v>
      </c>
      <c r="B289" t="s">
        <v>15</v>
      </c>
      <c r="C289">
        <v>691</v>
      </c>
      <c r="D289" t="s">
        <v>22</v>
      </c>
      <c r="E289" t="s">
        <v>26</v>
      </c>
      <c r="F289">
        <v>88</v>
      </c>
      <c r="G289">
        <v>1</v>
      </c>
      <c r="H289">
        <v>162669.35999999999</v>
      </c>
      <c r="I289">
        <v>4</v>
      </c>
      <c r="J289">
        <v>0</v>
      </c>
      <c r="K289">
        <v>0</v>
      </c>
      <c r="L289">
        <v>71072.84</v>
      </c>
      <c r="M289">
        <v>0</v>
      </c>
      <c r="O289" t="str">
        <f t="shared" si="8"/>
        <v/>
      </c>
      <c r="P289">
        <f t="shared" si="9"/>
        <v>71072.84</v>
      </c>
      <c r="R289" t="str">
        <f t="array" ref="R289">IFERROR(INDEX($L$2:$L$501,SMALL(IF($M$2:$M$501=1,ROW($M$2:$M$501)-1),ROW()-1)),"")</f>
        <v/>
      </c>
      <c r="S289" t="str" cm="1">
        <f t="array" ref="S289">IFERROR(INDEX($L$2:$L$501,SMALL(IF($M$2:$M$501=0,ROW($M$2:$M$501)-1),ROW()-1)),"")</f>
        <v/>
      </c>
      <c r="U289" t="str" cm="1">
        <f t="array" ref="U289">IFERROR(INDEX($C$2:$C$501,SMALL(IF($D$2:$D$501="France",ROW($D$2:$D$501)-1),ROW()-1)),"")</f>
        <v/>
      </c>
      <c r="V289" t="str" cm="1">
        <f t="array" ref="V289">IFERROR(INDEX($C$2:$C$501,SMALL(IF($D$2:$D$501="Germany",ROW($D$2:$D$501)-1),ROW()-1)),"")</f>
        <v/>
      </c>
      <c r="W289" t="str" cm="1">
        <f t="array" ref="W289">IFERROR(INDEX($C$2:$C$501,SMALL(IF($D$2:$D$501="Spain",ROW($D$2:$D$501)-1),ROW()-1)),"")</f>
        <v/>
      </c>
    </row>
    <row r="290" spans="1:23" x14ac:dyDescent="0.35">
      <c r="A290">
        <v>289</v>
      </c>
      <c r="B290" t="s">
        <v>13</v>
      </c>
      <c r="C290">
        <v>732</v>
      </c>
      <c r="D290" t="s">
        <v>24</v>
      </c>
      <c r="E290" t="s">
        <v>26</v>
      </c>
      <c r="F290">
        <v>48</v>
      </c>
      <c r="G290">
        <v>7</v>
      </c>
      <c r="H290">
        <v>218144.92</v>
      </c>
      <c r="I290">
        <v>4</v>
      </c>
      <c r="J290">
        <v>1</v>
      </c>
      <c r="K290">
        <v>1</v>
      </c>
      <c r="L290">
        <v>130492.75</v>
      </c>
      <c r="M290">
        <v>1</v>
      </c>
      <c r="O290">
        <f t="shared" si="8"/>
        <v>130492.75</v>
      </c>
      <c r="P290" t="str">
        <f t="shared" si="9"/>
        <v/>
      </c>
      <c r="R290" t="str">
        <f t="array" ref="R290">IFERROR(INDEX($L$2:$L$501,SMALL(IF($M$2:$M$501=1,ROW($M$2:$M$501)-1),ROW()-1)),"")</f>
        <v/>
      </c>
      <c r="S290" t="str" cm="1">
        <f t="array" ref="S290">IFERROR(INDEX($L$2:$L$501,SMALL(IF($M$2:$M$501=0,ROW($M$2:$M$501)-1),ROW()-1)),"")</f>
        <v/>
      </c>
      <c r="U290" t="str" cm="1">
        <f t="array" ref="U290">IFERROR(INDEX($C$2:$C$501,SMALL(IF($D$2:$D$501="France",ROW($D$2:$D$501)-1),ROW()-1)),"")</f>
        <v/>
      </c>
      <c r="V290" t="str" cm="1">
        <f t="array" ref="V290">IFERROR(INDEX($C$2:$C$501,SMALL(IF($D$2:$D$501="Germany",ROW($D$2:$D$501)-1),ROW()-1)),"")</f>
        <v/>
      </c>
      <c r="W290" t="str" cm="1">
        <f t="array" ref="W290">IFERROR(INDEX($C$2:$C$501,SMALL(IF($D$2:$D$501="Spain",ROW($D$2:$D$501)-1),ROW()-1)),"")</f>
        <v/>
      </c>
    </row>
    <row r="291" spans="1:23" x14ac:dyDescent="0.35">
      <c r="A291">
        <v>290</v>
      </c>
      <c r="B291" t="s">
        <v>14</v>
      </c>
      <c r="C291">
        <v>720</v>
      </c>
      <c r="D291" t="s">
        <v>22</v>
      </c>
      <c r="E291" t="s">
        <v>26</v>
      </c>
      <c r="F291">
        <v>40</v>
      </c>
      <c r="G291">
        <v>0</v>
      </c>
      <c r="H291">
        <v>115463.15</v>
      </c>
      <c r="I291">
        <v>2</v>
      </c>
      <c r="J291">
        <v>1</v>
      </c>
      <c r="K291">
        <v>0</v>
      </c>
      <c r="L291">
        <v>11871.68</v>
      </c>
      <c r="M291">
        <v>0</v>
      </c>
      <c r="O291" t="str">
        <f t="shared" si="8"/>
        <v/>
      </c>
      <c r="P291">
        <f t="shared" si="9"/>
        <v>11871.68</v>
      </c>
      <c r="R291" t="str">
        <f t="array" ref="R291">IFERROR(INDEX($L$2:$L$501,SMALL(IF($M$2:$M$501=1,ROW($M$2:$M$501)-1),ROW()-1)),"")</f>
        <v/>
      </c>
      <c r="S291" t="str" cm="1">
        <f t="array" ref="S291">IFERROR(INDEX($L$2:$L$501,SMALL(IF($M$2:$M$501=0,ROW($M$2:$M$501)-1),ROW()-1)),"")</f>
        <v/>
      </c>
      <c r="U291" t="str" cm="1">
        <f t="array" ref="U291">IFERROR(INDEX($C$2:$C$501,SMALL(IF($D$2:$D$501="France",ROW($D$2:$D$501)-1),ROW()-1)),"")</f>
        <v/>
      </c>
      <c r="V291" t="str" cm="1">
        <f t="array" ref="V291">IFERROR(INDEX($C$2:$C$501,SMALL(IF($D$2:$D$501="Germany",ROW($D$2:$D$501)-1),ROW()-1)),"")</f>
        <v/>
      </c>
      <c r="W291" t="str" cm="1">
        <f t="array" ref="W291">IFERROR(INDEX($C$2:$C$501,SMALL(IF($D$2:$D$501="Spain",ROW($D$2:$D$501)-1),ROW()-1)),"")</f>
        <v/>
      </c>
    </row>
    <row r="292" spans="1:23" x14ac:dyDescent="0.35">
      <c r="A292">
        <v>291</v>
      </c>
      <c r="B292" t="s">
        <v>20</v>
      </c>
      <c r="C292">
        <v>528</v>
      </c>
      <c r="D292" t="s">
        <v>24</v>
      </c>
      <c r="E292" t="s">
        <v>26</v>
      </c>
      <c r="F292">
        <v>53</v>
      </c>
      <c r="G292">
        <v>6</v>
      </c>
      <c r="H292">
        <v>130816.43</v>
      </c>
      <c r="I292">
        <v>3</v>
      </c>
      <c r="J292">
        <v>0</v>
      </c>
      <c r="K292">
        <v>0</v>
      </c>
      <c r="L292">
        <v>57363.12</v>
      </c>
      <c r="M292">
        <v>0</v>
      </c>
      <c r="O292" t="str">
        <f t="shared" si="8"/>
        <v/>
      </c>
      <c r="P292">
        <f t="shared" si="9"/>
        <v>57363.12</v>
      </c>
      <c r="R292" t="str">
        <f t="array" ref="R292">IFERROR(INDEX($L$2:$L$501,SMALL(IF($M$2:$M$501=1,ROW($M$2:$M$501)-1),ROW()-1)),"")</f>
        <v/>
      </c>
      <c r="S292" t="str" cm="1">
        <f t="array" ref="S292">IFERROR(INDEX($L$2:$L$501,SMALL(IF($M$2:$M$501=0,ROW($M$2:$M$501)-1),ROW()-1)),"")</f>
        <v/>
      </c>
      <c r="U292" t="str" cm="1">
        <f t="array" ref="U292">IFERROR(INDEX($C$2:$C$501,SMALL(IF($D$2:$D$501="France",ROW($D$2:$D$501)-1),ROW()-1)),"")</f>
        <v/>
      </c>
      <c r="V292" t="str" cm="1">
        <f t="array" ref="V292">IFERROR(INDEX($C$2:$C$501,SMALL(IF($D$2:$D$501="Germany",ROW($D$2:$D$501)-1),ROW()-1)),"")</f>
        <v/>
      </c>
      <c r="W292" t="str" cm="1">
        <f t="array" ref="W292">IFERROR(INDEX($C$2:$C$501,SMALL(IF($D$2:$D$501="Spain",ROW($D$2:$D$501)-1),ROW()-1)),"")</f>
        <v/>
      </c>
    </row>
    <row r="293" spans="1:23" x14ac:dyDescent="0.35">
      <c r="A293">
        <v>292</v>
      </c>
      <c r="B293" t="s">
        <v>15</v>
      </c>
      <c r="C293">
        <v>657</v>
      </c>
      <c r="D293" t="s">
        <v>23</v>
      </c>
      <c r="E293" t="s">
        <v>26</v>
      </c>
      <c r="F293">
        <v>86</v>
      </c>
      <c r="G293">
        <v>5</v>
      </c>
      <c r="H293">
        <v>44447.47</v>
      </c>
      <c r="I293">
        <v>2</v>
      </c>
      <c r="J293">
        <v>0</v>
      </c>
      <c r="K293">
        <v>0</v>
      </c>
      <c r="L293">
        <v>145899.54</v>
      </c>
      <c r="M293">
        <v>0</v>
      </c>
      <c r="O293" t="str">
        <f t="shared" si="8"/>
        <v/>
      </c>
      <c r="P293">
        <f t="shared" si="9"/>
        <v>145899.54</v>
      </c>
      <c r="R293" t="str">
        <f t="array" ref="R293">IFERROR(INDEX($L$2:$L$501,SMALL(IF($M$2:$M$501=1,ROW($M$2:$M$501)-1),ROW()-1)),"")</f>
        <v/>
      </c>
      <c r="S293" t="str" cm="1">
        <f t="array" ref="S293">IFERROR(INDEX($L$2:$L$501,SMALL(IF($M$2:$M$501=0,ROW($M$2:$M$501)-1),ROW()-1)),"")</f>
        <v/>
      </c>
      <c r="U293" t="str" cm="1">
        <f t="array" ref="U293">IFERROR(INDEX($C$2:$C$501,SMALL(IF($D$2:$D$501="France",ROW($D$2:$D$501)-1),ROW()-1)),"")</f>
        <v/>
      </c>
      <c r="V293" t="str" cm="1">
        <f t="array" ref="V293">IFERROR(INDEX($C$2:$C$501,SMALL(IF($D$2:$D$501="Germany",ROW($D$2:$D$501)-1),ROW()-1)),"")</f>
        <v/>
      </c>
      <c r="W293" t="str" cm="1">
        <f t="array" ref="W293">IFERROR(INDEX($C$2:$C$501,SMALL(IF($D$2:$D$501="Spain",ROW($D$2:$D$501)-1),ROW()-1)),"")</f>
        <v/>
      </c>
    </row>
    <row r="294" spans="1:23" x14ac:dyDescent="0.35">
      <c r="A294">
        <v>293</v>
      </c>
      <c r="B294" t="s">
        <v>15</v>
      </c>
      <c r="C294">
        <v>608</v>
      </c>
      <c r="D294" t="s">
        <v>23</v>
      </c>
      <c r="E294" t="s">
        <v>26</v>
      </c>
      <c r="F294">
        <v>81</v>
      </c>
      <c r="G294">
        <v>9</v>
      </c>
      <c r="H294">
        <v>30279.62</v>
      </c>
      <c r="I294">
        <v>1</v>
      </c>
      <c r="J294">
        <v>0</v>
      </c>
      <c r="K294">
        <v>1</v>
      </c>
      <c r="L294">
        <v>74150.789999999994</v>
      </c>
      <c r="M294">
        <v>1</v>
      </c>
      <c r="O294">
        <f t="shared" si="8"/>
        <v>74150.789999999994</v>
      </c>
      <c r="P294" t="str">
        <f t="shared" si="9"/>
        <v/>
      </c>
      <c r="R294" t="str">
        <f t="array" ref="R294">IFERROR(INDEX($L$2:$L$501,SMALL(IF($M$2:$M$501=1,ROW($M$2:$M$501)-1),ROW()-1)),"")</f>
        <v/>
      </c>
      <c r="S294" t="str" cm="1">
        <f t="array" ref="S294">IFERROR(INDEX($L$2:$L$501,SMALL(IF($M$2:$M$501=0,ROW($M$2:$M$501)-1),ROW()-1)),"")</f>
        <v/>
      </c>
      <c r="U294" t="str" cm="1">
        <f t="array" ref="U294">IFERROR(INDEX($C$2:$C$501,SMALL(IF($D$2:$D$501="France",ROW($D$2:$D$501)-1),ROW()-1)),"")</f>
        <v/>
      </c>
      <c r="V294" t="str" cm="1">
        <f t="array" ref="V294">IFERROR(INDEX($C$2:$C$501,SMALL(IF($D$2:$D$501="Germany",ROW($D$2:$D$501)-1),ROW()-1)),"")</f>
        <v/>
      </c>
      <c r="W294" t="str" cm="1">
        <f t="array" ref="W294">IFERROR(INDEX($C$2:$C$501,SMALL(IF($D$2:$D$501="Spain",ROW($D$2:$D$501)-1),ROW()-1)),"")</f>
        <v/>
      </c>
    </row>
    <row r="295" spans="1:23" x14ac:dyDescent="0.35">
      <c r="A295">
        <v>294</v>
      </c>
      <c r="B295" t="s">
        <v>21</v>
      </c>
      <c r="C295">
        <v>682</v>
      </c>
      <c r="D295" t="s">
        <v>24</v>
      </c>
      <c r="E295" t="s">
        <v>26</v>
      </c>
      <c r="F295">
        <v>22</v>
      </c>
      <c r="G295">
        <v>8</v>
      </c>
      <c r="H295">
        <v>153461.96</v>
      </c>
      <c r="I295">
        <v>1</v>
      </c>
      <c r="J295">
        <v>0</v>
      </c>
      <c r="K295">
        <v>1</v>
      </c>
      <c r="L295">
        <v>66758.63</v>
      </c>
      <c r="M295">
        <v>0</v>
      </c>
      <c r="O295" t="str">
        <f t="shared" si="8"/>
        <v/>
      </c>
      <c r="P295">
        <f t="shared" si="9"/>
        <v>66758.63</v>
      </c>
      <c r="R295" t="str">
        <f t="array" ref="R295">IFERROR(INDEX($L$2:$L$501,SMALL(IF($M$2:$M$501=1,ROW($M$2:$M$501)-1),ROW()-1)),"")</f>
        <v/>
      </c>
      <c r="S295" t="str" cm="1">
        <f t="array" ref="S295">IFERROR(INDEX($L$2:$L$501,SMALL(IF($M$2:$M$501=0,ROW($M$2:$M$501)-1),ROW()-1)),"")</f>
        <v/>
      </c>
      <c r="U295" t="str" cm="1">
        <f t="array" ref="U295">IFERROR(INDEX($C$2:$C$501,SMALL(IF($D$2:$D$501="France",ROW($D$2:$D$501)-1),ROW()-1)),"")</f>
        <v/>
      </c>
      <c r="V295" t="str" cm="1">
        <f t="array" ref="V295">IFERROR(INDEX($C$2:$C$501,SMALL(IF($D$2:$D$501="Germany",ROW($D$2:$D$501)-1),ROW()-1)),"")</f>
        <v/>
      </c>
      <c r="W295" t="str" cm="1">
        <f t="array" ref="W295">IFERROR(INDEX($C$2:$C$501,SMALL(IF($D$2:$D$501="Spain",ROW($D$2:$D$501)-1),ROW()-1)),"")</f>
        <v/>
      </c>
    </row>
    <row r="296" spans="1:23" x14ac:dyDescent="0.35">
      <c r="A296">
        <v>295</v>
      </c>
      <c r="B296" t="s">
        <v>20</v>
      </c>
      <c r="C296">
        <v>507</v>
      </c>
      <c r="D296" t="s">
        <v>24</v>
      </c>
      <c r="E296" t="s">
        <v>26</v>
      </c>
      <c r="F296">
        <v>67</v>
      </c>
      <c r="G296">
        <v>5</v>
      </c>
      <c r="H296">
        <v>179102.53</v>
      </c>
      <c r="I296">
        <v>1</v>
      </c>
      <c r="J296">
        <v>0</v>
      </c>
      <c r="K296">
        <v>0</v>
      </c>
      <c r="L296">
        <v>14556.33</v>
      </c>
      <c r="M296">
        <v>1</v>
      </c>
      <c r="O296">
        <f t="shared" si="8"/>
        <v>14556.33</v>
      </c>
      <c r="P296" t="str">
        <f t="shared" si="9"/>
        <v/>
      </c>
      <c r="R296" t="str">
        <f t="array" ref="R296">IFERROR(INDEX($L$2:$L$501,SMALL(IF($M$2:$M$501=1,ROW($M$2:$M$501)-1),ROW()-1)),"")</f>
        <v/>
      </c>
      <c r="S296" t="str" cm="1">
        <f t="array" ref="S296">IFERROR(INDEX($L$2:$L$501,SMALL(IF($M$2:$M$501=0,ROW($M$2:$M$501)-1),ROW()-1)),"")</f>
        <v/>
      </c>
      <c r="U296" t="str" cm="1">
        <f t="array" ref="U296">IFERROR(INDEX($C$2:$C$501,SMALL(IF($D$2:$D$501="France",ROW($D$2:$D$501)-1),ROW()-1)),"")</f>
        <v/>
      </c>
      <c r="V296" t="str" cm="1">
        <f t="array" ref="V296">IFERROR(INDEX($C$2:$C$501,SMALL(IF($D$2:$D$501="Germany",ROW($D$2:$D$501)-1),ROW()-1)),"")</f>
        <v/>
      </c>
      <c r="W296" t="str" cm="1">
        <f t="array" ref="W296">IFERROR(INDEX($C$2:$C$501,SMALL(IF($D$2:$D$501="Spain",ROW($D$2:$D$501)-1),ROW()-1)),"")</f>
        <v/>
      </c>
    </row>
    <row r="297" spans="1:23" x14ac:dyDescent="0.35">
      <c r="A297">
        <v>296</v>
      </c>
      <c r="B297" t="s">
        <v>18</v>
      </c>
      <c r="C297">
        <v>359</v>
      </c>
      <c r="D297" t="s">
        <v>23</v>
      </c>
      <c r="E297" t="s">
        <v>26</v>
      </c>
      <c r="F297">
        <v>47</v>
      </c>
      <c r="G297">
        <v>6</v>
      </c>
      <c r="H297">
        <v>71875.839999999997</v>
      </c>
      <c r="I297">
        <v>1</v>
      </c>
      <c r="J297">
        <v>0</v>
      </c>
      <c r="K297">
        <v>1</v>
      </c>
      <c r="L297">
        <v>112038.87</v>
      </c>
      <c r="M297">
        <v>0</v>
      </c>
      <c r="O297" t="str">
        <f t="shared" si="8"/>
        <v/>
      </c>
      <c r="P297">
        <f t="shared" si="9"/>
        <v>112038.87</v>
      </c>
      <c r="R297" t="str">
        <f t="array" ref="R297">IFERROR(INDEX($L$2:$L$501,SMALL(IF($M$2:$M$501=1,ROW($M$2:$M$501)-1),ROW()-1)),"")</f>
        <v/>
      </c>
      <c r="S297" t="str" cm="1">
        <f t="array" ref="S297">IFERROR(INDEX($L$2:$L$501,SMALL(IF($M$2:$M$501=0,ROW($M$2:$M$501)-1),ROW()-1)),"")</f>
        <v/>
      </c>
      <c r="U297" t="str" cm="1">
        <f t="array" ref="U297">IFERROR(INDEX($C$2:$C$501,SMALL(IF($D$2:$D$501="France",ROW($D$2:$D$501)-1),ROW()-1)),"")</f>
        <v/>
      </c>
      <c r="V297" t="str" cm="1">
        <f t="array" ref="V297">IFERROR(INDEX($C$2:$C$501,SMALL(IF($D$2:$D$501="Germany",ROW($D$2:$D$501)-1),ROW()-1)),"")</f>
        <v/>
      </c>
      <c r="W297" t="str" cm="1">
        <f t="array" ref="W297">IFERROR(INDEX($C$2:$C$501,SMALL(IF($D$2:$D$501="Spain",ROW($D$2:$D$501)-1),ROW()-1)),"")</f>
        <v/>
      </c>
    </row>
    <row r="298" spans="1:23" x14ac:dyDescent="0.35">
      <c r="A298">
        <v>297</v>
      </c>
      <c r="B298" t="s">
        <v>15</v>
      </c>
      <c r="C298">
        <v>465</v>
      </c>
      <c r="D298" t="s">
        <v>24</v>
      </c>
      <c r="E298" t="s">
        <v>25</v>
      </c>
      <c r="F298">
        <v>81</v>
      </c>
      <c r="G298">
        <v>8</v>
      </c>
      <c r="H298">
        <v>124862.63</v>
      </c>
      <c r="I298">
        <v>4</v>
      </c>
      <c r="J298">
        <v>1</v>
      </c>
      <c r="K298">
        <v>1</v>
      </c>
      <c r="L298">
        <v>141751.96</v>
      </c>
      <c r="M298">
        <v>0</v>
      </c>
      <c r="O298" t="str">
        <f t="shared" si="8"/>
        <v/>
      </c>
      <c r="P298">
        <f t="shared" si="9"/>
        <v>141751.96</v>
      </c>
      <c r="R298" t="str">
        <f t="array" ref="R298">IFERROR(INDEX($L$2:$L$501,SMALL(IF($M$2:$M$501=1,ROW($M$2:$M$501)-1),ROW()-1)),"")</f>
        <v/>
      </c>
      <c r="S298" t="str" cm="1">
        <f t="array" ref="S298">IFERROR(INDEX($L$2:$L$501,SMALL(IF($M$2:$M$501=0,ROW($M$2:$M$501)-1),ROW()-1)),"")</f>
        <v/>
      </c>
      <c r="U298" t="str" cm="1">
        <f t="array" ref="U298">IFERROR(INDEX($C$2:$C$501,SMALL(IF($D$2:$D$501="France",ROW($D$2:$D$501)-1),ROW()-1)),"")</f>
        <v/>
      </c>
      <c r="V298" t="str" cm="1">
        <f t="array" ref="V298">IFERROR(INDEX($C$2:$C$501,SMALL(IF($D$2:$D$501="Germany",ROW($D$2:$D$501)-1),ROW()-1)),"")</f>
        <v/>
      </c>
      <c r="W298" t="str" cm="1">
        <f t="array" ref="W298">IFERROR(INDEX($C$2:$C$501,SMALL(IF($D$2:$D$501="Spain",ROW($D$2:$D$501)-1),ROW()-1)),"")</f>
        <v/>
      </c>
    </row>
    <row r="299" spans="1:23" x14ac:dyDescent="0.35">
      <c r="A299">
        <v>298</v>
      </c>
      <c r="B299" t="s">
        <v>13</v>
      </c>
      <c r="C299">
        <v>806</v>
      </c>
      <c r="D299" t="s">
        <v>24</v>
      </c>
      <c r="E299" t="s">
        <v>26</v>
      </c>
      <c r="F299">
        <v>79</v>
      </c>
      <c r="G299">
        <v>1</v>
      </c>
      <c r="H299">
        <v>239514.85</v>
      </c>
      <c r="I299">
        <v>1</v>
      </c>
      <c r="J299">
        <v>0</v>
      </c>
      <c r="K299">
        <v>0</v>
      </c>
      <c r="L299">
        <v>107683.81</v>
      </c>
      <c r="M299">
        <v>1</v>
      </c>
      <c r="O299">
        <f t="shared" si="8"/>
        <v>107683.81</v>
      </c>
      <c r="P299" t="str">
        <f t="shared" si="9"/>
        <v/>
      </c>
      <c r="R299" t="str">
        <f t="array" ref="R299">IFERROR(INDEX($L$2:$L$501,SMALL(IF($M$2:$M$501=1,ROW($M$2:$M$501)-1),ROW()-1)),"")</f>
        <v/>
      </c>
      <c r="S299" t="str" cm="1">
        <f t="array" ref="S299">IFERROR(INDEX($L$2:$L$501,SMALL(IF($M$2:$M$501=0,ROW($M$2:$M$501)-1),ROW()-1)),"")</f>
        <v/>
      </c>
      <c r="U299" t="str" cm="1">
        <f t="array" ref="U299">IFERROR(INDEX($C$2:$C$501,SMALL(IF($D$2:$D$501="France",ROW($D$2:$D$501)-1),ROW()-1)),"")</f>
        <v/>
      </c>
      <c r="V299" t="str" cm="1">
        <f t="array" ref="V299">IFERROR(INDEX($C$2:$C$501,SMALL(IF($D$2:$D$501="Germany",ROW($D$2:$D$501)-1),ROW()-1)),"")</f>
        <v/>
      </c>
      <c r="W299" t="str" cm="1">
        <f t="array" ref="W299">IFERROR(INDEX($C$2:$C$501,SMALL(IF($D$2:$D$501="Spain",ROW($D$2:$D$501)-1),ROW()-1)),"")</f>
        <v/>
      </c>
    </row>
    <row r="300" spans="1:23" x14ac:dyDescent="0.35">
      <c r="A300">
        <v>299</v>
      </c>
      <c r="B300" t="s">
        <v>18</v>
      </c>
      <c r="C300">
        <v>739</v>
      </c>
      <c r="D300" t="s">
        <v>22</v>
      </c>
      <c r="E300" t="s">
        <v>26</v>
      </c>
      <c r="F300">
        <v>44</v>
      </c>
      <c r="G300">
        <v>4</v>
      </c>
      <c r="H300">
        <v>8330.89</v>
      </c>
      <c r="I300">
        <v>1</v>
      </c>
      <c r="J300">
        <v>0</v>
      </c>
      <c r="K300">
        <v>1</v>
      </c>
      <c r="L300">
        <v>102035.16</v>
      </c>
      <c r="M300">
        <v>1</v>
      </c>
      <c r="O300">
        <f t="shared" si="8"/>
        <v>102035.16</v>
      </c>
      <c r="P300" t="str">
        <f t="shared" si="9"/>
        <v/>
      </c>
      <c r="R300" t="str">
        <f t="array" ref="R300">IFERROR(INDEX($L$2:$L$501,SMALL(IF($M$2:$M$501=1,ROW($M$2:$M$501)-1),ROW()-1)),"")</f>
        <v/>
      </c>
      <c r="S300" t="str" cm="1">
        <f t="array" ref="S300">IFERROR(INDEX($L$2:$L$501,SMALL(IF($M$2:$M$501=0,ROW($M$2:$M$501)-1),ROW()-1)),"")</f>
        <v/>
      </c>
      <c r="U300" t="str" cm="1">
        <f t="array" ref="U300">IFERROR(INDEX($C$2:$C$501,SMALL(IF($D$2:$D$501="France",ROW($D$2:$D$501)-1),ROW()-1)),"")</f>
        <v/>
      </c>
      <c r="V300" t="str" cm="1">
        <f t="array" ref="V300">IFERROR(INDEX($C$2:$C$501,SMALL(IF($D$2:$D$501="Germany",ROW($D$2:$D$501)-1),ROW()-1)),"")</f>
        <v/>
      </c>
      <c r="W300" t="str" cm="1">
        <f t="array" ref="W300">IFERROR(INDEX($C$2:$C$501,SMALL(IF($D$2:$D$501="Spain",ROW($D$2:$D$501)-1),ROW()-1)),"")</f>
        <v/>
      </c>
    </row>
    <row r="301" spans="1:23" x14ac:dyDescent="0.35">
      <c r="A301">
        <v>300</v>
      </c>
      <c r="B301" t="s">
        <v>16</v>
      </c>
      <c r="C301">
        <v>466</v>
      </c>
      <c r="D301" t="s">
        <v>23</v>
      </c>
      <c r="E301" t="s">
        <v>26</v>
      </c>
      <c r="F301">
        <v>91</v>
      </c>
      <c r="G301">
        <v>5</v>
      </c>
      <c r="H301">
        <v>58953.35</v>
      </c>
      <c r="I301">
        <v>4</v>
      </c>
      <c r="J301">
        <v>1</v>
      </c>
      <c r="K301">
        <v>0</v>
      </c>
      <c r="L301">
        <v>140486.14000000001</v>
      </c>
      <c r="M301">
        <v>1</v>
      </c>
      <c r="O301">
        <f t="shared" si="8"/>
        <v>140486.14000000001</v>
      </c>
      <c r="P301" t="str">
        <f t="shared" si="9"/>
        <v/>
      </c>
      <c r="R301" t="str">
        <f t="array" ref="R301">IFERROR(INDEX($L$2:$L$501,SMALL(IF($M$2:$M$501=1,ROW($M$2:$M$501)-1),ROW()-1)),"")</f>
        <v/>
      </c>
      <c r="S301" t="str" cm="1">
        <f t="array" ref="S301">IFERROR(INDEX($L$2:$L$501,SMALL(IF($M$2:$M$501=0,ROW($M$2:$M$501)-1),ROW()-1)),"")</f>
        <v/>
      </c>
      <c r="U301" t="str" cm="1">
        <f t="array" ref="U301">IFERROR(INDEX($C$2:$C$501,SMALL(IF($D$2:$D$501="France",ROW($D$2:$D$501)-1),ROW()-1)),"")</f>
        <v/>
      </c>
      <c r="V301" t="str" cm="1">
        <f t="array" ref="V301">IFERROR(INDEX($C$2:$C$501,SMALL(IF($D$2:$D$501="Germany",ROW($D$2:$D$501)-1),ROW()-1)),"")</f>
        <v/>
      </c>
      <c r="W301" t="str" cm="1">
        <f t="array" ref="W301">IFERROR(INDEX($C$2:$C$501,SMALL(IF($D$2:$D$501="Spain",ROW($D$2:$D$501)-1),ROW()-1)),"")</f>
        <v/>
      </c>
    </row>
    <row r="302" spans="1:23" x14ac:dyDescent="0.35">
      <c r="A302">
        <v>301</v>
      </c>
      <c r="B302" t="s">
        <v>13</v>
      </c>
      <c r="C302">
        <v>531</v>
      </c>
      <c r="D302" t="s">
        <v>22</v>
      </c>
      <c r="E302" t="s">
        <v>26</v>
      </c>
      <c r="F302">
        <v>68</v>
      </c>
      <c r="G302">
        <v>9</v>
      </c>
      <c r="H302">
        <v>25763.31</v>
      </c>
      <c r="I302">
        <v>1</v>
      </c>
      <c r="J302">
        <v>1</v>
      </c>
      <c r="K302">
        <v>1</v>
      </c>
      <c r="L302">
        <v>31564.75</v>
      </c>
      <c r="M302">
        <v>0</v>
      </c>
      <c r="O302" t="str">
        <f t="shared" si="8"/>
        <v/>
      </c>
      <c r="P302">
        <f t="shared" si="9"/>
        <v>31564.75</v>
      </c>
      <c r="R302" t="str">
        <f t="array" ref="R302">IFERROR(INDEX($L$2:$L$501,SMALL(IF($M$2:$M$501=1,ROW($M$2:$M$501)-1),ROW()-1)),"")</f>
        <v/>
      </c>
      <c r="S302" t="str" cm="1">
        <f t="array" ref="S302">IFERROR(INDEX($L$2:$L$501,SMALL(IF($M$2:$M$501=0,ROW($M$2:$M$501)-1),ROW()-1)),"")</f>
        <v/>
      </c>
      <c r="U302" t="str" cm="1">
        <f t="array" ref="U302">IFERROR(INDEX($C$2:$C$501,SMALL(IF($D$2:$D$501="France",ROW($D$2:$D$501)-1),ROW()-1)),"")</f>
        <v/>
      </c>
      <c r="V302" t="str" cm="1">
        <f t="array" ref="V302">IFERROR(INDEX($C$2:$C$501,SMALL(IF($D$2:$D$501="Germany",ROW($D$2:$D$501)-1),ROW()-1)),"")</f>
        <v/>
      </c>
      <c r="W302" t="str" cm="1">
        <f t="array" ref="W302">IFERROR(INDEX($C$2:$C$501,SMALL(IF($D$2:$D$501="Spain",ROW($D$2:$D$501)-1),ROW()-1)),"")</f>
        <v/>
      </c>
    </row>
    <row r="303" spans="1:23" x14ac:dyDescent="0.35">
      <c r="A303">
        <v>302</v>
      </c>
      <c r="B303" t="s">
        <v>19</v>
      </c>
      <c r="C303">
        <v>585</v>
      </c>
      <c r="D303" t="s">
        <v>23</v>
      </c>
      <c r="E303" t="s">
        <v>25</v>
      </c>
      <c r="F303">
        <v>35</v>
      </c>
      <c r="G303">
        <v>0</v>
      </c>
      <c r="H303">
        <v>205498.11</v>
      </c>
      <c r="I303">
        <v>2</v>
      </c>
      <c r="J303">
        <v>0</v>
      </c>
      <c r="K303">
        <v>1</v>
      </c>
      <c r="L303">
        <v>24566</v>
      </c>
      <c r="M303">
        <v>1</v>
      </c>
      <c r="O303">
        <f t="shared" si="8"/>
        <v>24566</v>
      </c>
      <c r="P303" t="str">
        <f t="shared" si="9"/>
        <v/>
      </c>
      <c r="R303" t="str">
        <f t="array" ref="R303">IFERROR(INDEX($L$2:$L$501,SMALL(IF($M$2:$M$501=1,ROW($M$2:$M$501)-1),ROW()-1)),"")</f>
        <v/>
      </c>
      <c r="S303" t="str" cm="1">
        <f t="array" ref="S303">IFERROR(INDEX($L$2:$L$501,SMALL(IF($M$2:$M$501=0,ROW($M$2:$M$501)-1),ROW()-1)),"")</f>
        <v/>
      </c>
      <c r="U303" t="str" cm="1">
        <f t="array" ref="U303">IFERROR(INDEX($C$2:$C$501,SMALL(IF($D$2:$D$501="France",ROW($D$2:$D$501)-1),ROW()-1)),"")</f>
        <v/>
      </c>
      <c r="V303" t="str" cm="1">
        <f t="array" ref="V303">IFERROR(INDEX($C$2:$C$501,SMALL(IF($D$2:$D$501="Germany",ROW($D$2:$D$501)-1),ROW()-1)),"")</f>
        <v/>
      </c>
      <c r="W303" t="str" cm="1">
        <f t="array" ref="W303">IFERROR(INDEX($C$2:$C$501,SMALL(IF($D$2:$D$501="Spain",ROW($D$2:$D$501)-1),ROW()-1)),"")</f>
        <v/>
      </c>
    </row>
    <row r="304" spans="1:23" x14ac:dyDescent="0.35">
      <c r="A304">
        <v>303</v>
      </c>
      <c r="B304" t="s">
        <v>18</v>
      </c>
      <c r="C304">
        <v>543</v>
      </c>
      <c r="D304" t="s">
        <v>22</v>
      </c>
      <c r="E304" t="s">
        <v>25</v>
      </c>
      <c r="F304">
        <v>89</v>
      </c>
      <c r="G304">
        <v>5</v>
      </c>
      <c r="H304">
        <v>248060.86</v>
      </c>
      <c r="I304">
        <v>3</v>
      </c>
      <c r="J304">
        <v>0</v>
      </c>
      <c r="K304">
        <v>0</v>
      </c>
      <c r="L304">
        <v>105985.33</v>
      </c>
      <c r="M304">
        <v>1</v>
      </c>
      <c r="O304">
        <f t="shared" si="8"/>
        <v>105985.33</v>
      </c>
      <c r="P304" t="str">
        <f t="shared" si="9"/>
        <v/>
      </c>
      <c r="R304" t="str">
        <f t="array" ref="R304">IFERROR(INDEX($L$2:$L$501,SMALL(IF($M$2:$M$501=1,ROW($M$2:$M$501)-1),ROW()-1)),"")</f>
        <v/>
      </c>
      <c r="S304" t="str" cm="1">
        <f t="array" ref="S304">IFERROR(INDEX($L$2:$L$501,SMALL(IF($M$2:$M$501=0,ROW($M$2:$M$501)-1),ROW()-1)),"")</f>
        <v/>
      </c>
      <c r="U304" t="str" cm="1">
        <f t="array" ref="U304">IFERROR(INDEX($C$2:$C$501,SMALL(IF($D$2:$D$501="France",ROW($D$2:$D$501)-1),ROW()-1)),"")</f>
        <v/>
      </c>
      <c r="V304" t="str" cm="1">
        <f t="array" ref="V304">IFERROR(INDEX($C$2:$C$501,SMALL(IF($D$2:$D$501="Germany",ROW($D$2:$D$501)-1),ROW()-1)),"")</f>
        <v/>
      </c>
      <c r="W304" t="str" cm="1">
        <f t="array" ref="W304">IFERROR(INDEX($C$2:$C$501,SMALL(IF($D$2:$D$501="Spain",ROW($D$2:$D$501)-1),ROW()-1)),"")</f>
        <v/>
      </c>
    </row>
    <row r="305" spans="1:23" x14ac:dyDescent="0.35">
      <c r="A305">
        <v>304</v>
      </c>
      <c r="B305" t="s">
        <v>17</v>
      </c>
      <c r="C305">
        <v>649</v>
      </c>
      <c r="D305" t="s">
        <v>24</v>
      </c>
      <c r="E305" t="s">
        <v>25</v>
      </c>
      <c r="F305">
        <v>74</v>
      </c>
      <c r="G305">
        <v>6</v>
      </c>
      <c r="H305">
        <v>39932.25</v>
      </c>
      <c r="I305">
        <v>3</v>
      </c>
      <c r="J305">
        <v>1</v>
      </c>
      <c r="K305">
        <v>0</v>
      </c>
      <c r="L305">
        <v>20310.53</v>
      </c>
      <c r="M305">
        <v>0</v>
      </c>
      <c r="O305" t="str">
        <f t="shared" si="8"/>
        <v/>
      </c>
      <c r="P305">
        <f t="shared" si="9"/>
        <v>20310.53</v>
      </c>
      <c r="R305" t="str">
        <f t="array" ref="R305">IFERROR(INDEX($L$2:$L$501,SMALL(IF($M$2:$M$501=1,ROW($M$2:$M$501)-1),ROW()-1)),"")</f>
        <v/>
      </c>
      <c r="S305" t="str" cm="1">
        <f t="array" ref="S305">IFERROR(INDEX($L$2:$L$501,SMALL(IF($M$2:$M$501=0,ROW($M$2:$M$501)-1),ROW()-1)),"")</f>
        <v/>
      </c>
      <c r="U305" t="str" cm="1">
        <f t="array" ref="U305">IFERROR(INDEX($C$2:$C$501,SMALL(IF($D$2:$D$501="France",ROW($D$2:$D$501)-1),ROW()-1)),"")</f>
        <v/>
      </c>
      <c r="V305" t="str" cm="1">
        <f t="array" ref="V305">IFERROR(INDEX($C$2:$C$501,SMALL(IF($D$2:$D$501="Germany",ROW($D$2:$D$501)-1),ROW()-1)),"")</f>
        <v/>
      </c>
      <c r="W305" t="str" cm="1">
        <f t="array" ref="W305">IFERROR(INDEX($C$2:$C$501,SMALL(IF($D$2:$D$501="Spain",ROW($D$2:$D$501)-1),ROW()-1)),"")</f>
        <v/>
      </c>
    </row>
    <row r="306" spans="1:23" x14ac:dyDescent="0.35">
      <c r="A306">
        <v>305</v>
      </c>
      <c r="B306" t="s">
        <v>18</v>
      </c>
      <c r="C306">
        <v>429</v>
      </c>
      <c r="D306" t="s">
        <v>24</v>
      </c>
      <c r="E306" t="s">
        <v>25</v>
      </c>
      <c r="F306">
        <v>53</v>
      </c>
      <c r="G306">
        <v>9</v>
      </c>
      <c r="H306">
        <v>187975.23</v>
      </c>
      <c r="I306">
        <v>1</v>
      </c>
      <c r="J306">
        <v>1</v>
      </c>
      <c r="K306">
        <v>0</v>
      </c>
      <c r="L306">
        <v>137236.54</v>
      </c>
      <c r="M306">
        <v>1</v>
      </c>
      <c r="O306">
        <f t="shared" si="8"/>
        <v>137236.54</v>
      </c>
      <c r="P306" t="str">
        <f t="shared" si="9"/>
        <v/>
      </c>
      <c r="R306" t="str">
        <f t="array" ref="R306">IFERROR(INDEX($L$2:$L$501,SMALL(IF($M$2:$M$501=1,ROW($M$2:$M$501)-1),ROW()-1)),"")</f>
        <v/>
      </c>
      <c r="S306" t="str" cm="1">
        <f t="array" ref="S306">IFERROR(INDEX($L$2:$L$501,SMALL(IF($M$2:$M$501=0,ROW($M$2:$M$501)-1),ROW()-1)),"")</f>
        <v/>
      </c>
      <c r="U306" t="str" cm="1">
        <f t="array" ref="U306">IFERROR(INDEX($C$2:$C$501,SMALL(IF($D$2:$D$501="France",ROW($D$2:$D$501)-1),ROW()-1)),"")</f>
        <v/>
      </c>
      <c r="V306" t="str" cm="1">
        <f t="array" ref="V306">IFERROR(INDEX($C$2:$C$501,SMALL(IF($D$2:$D$501="Germany",ROW($D$2:$D$501)-1),ROW()-1)),"")</f>
        <v/>
      </c>
      <c r="W306" t="str" cm="1">
        <f t="array" ref="W306">IFERROR(INDEX($C$2:$C$501,SMALL(IF($D$2:$D$501="Spain",ROW($D$2:$D$501)-1),ROW()-1)),"")</f>
        <v/>
      </c>
    </row>
    <row r="307" spans="1:23" x14ac:dyDescent="0.35">
      <c r="A307">
        <v>306</v>
      </c>
      <c r="B307" t="s">
        <v>19</v>
      </c>
      <c r="C307">
        <v>412</v>
      </c>
      <c r="D307" t="s">
        <v>23</v>
      </c>
      <c r="E307" t="s">
        <v>26</v>
      </c>
      <c r="F307">
        <v>91</v>
      </c>
      <c r="G307">
        <v>1</v>
      </c>
      <c r="H307">
        <v>71844.740000000005</v>
      </c>
      <c r="I307">
        <v>1</v>
      </c>
      <c r="J307">
        <v>0</v>
      </c>
      <c r="K307">
        <v>1</v>
      </c>
      <c r="L307">
        <v>105880.01</v>
      </c>
      <c r="M307">
        <v>0</v>
      </c>
      <c r="O307" t="str">
        <f t="shared" si="8"/>
        <v/>
      </c>
      <c r="P307">
        <f t="shared" si="9"/>
        <v>105880.01</v>
      </c>
      <c r="R307" t="str">
        <f t="array" ref="R307">IFERROR(INDEX($L$2:$L$501,SMALL(IF($M$2:$M$501=1,ROW($M$2:$M$501)-1),ROW()-1)),"")</f>
        <v/>
      </c>
      <c r="S307" t="str" cm="1">
        <f t="array" ref="S307">IFERROR(INDEX($L$2:$L$501,SMALL(IF($M$2:$M$501=0,ROW($M$2:$M$501)-1),ROW()-1)),"")</f>
        <v/>
      </c>
      <c r="U307" t="str" cm="1">
        <f t="array" ref="U307">IFERROR(INDEX($C$2:$C$501,SMALL(IF($D$2:$D$501="France",ROW($D$2:$D$501)-1),ROW()-1)),"")</f>
        <v/>
      </c>
      <c r="V307" t="str" cm="1">
        <f t="array" ref="V307">IFERROR(INDEX($C$2:$C$501,SMALL(IF($D$2:$D$501="Germany",ROW($D$2:$D$501)-1),ROW()-1)),"")</f>
        <v/>
      </c>
      <c r="W307" t="str" cm="1">
        <f t="array" ref="W307">IFERROR(INDEX($C$2:$C$501,SMALL(IF($D$2:$D$501="Spain",ROW($D$2:$D$501)-1),ROW()-1)),"")</f>
        <v/>
      </c>
    </row>
    <row r="308" spans="1:23" x14ac:dyDescent="0.35">
      <c r="A308">
        <v>307</v>
      </c>
      <c r="B308" t="s">
        <v>14</v>
      </c>
      <c r="C308">
        <v>682</v>
      </c>
      <c r="D308" t="s">
        <v>23</v>
      </c>
      <c r="E308" t="s">
        <v>26</v>
      </c>
      <c r="F308">
        <v>65</v>
      </c>
      <c r="G308">
        <v>1</v>
      </c>
      <c r="H308">
        <v>82186.16</v>
      </c>
      <c r="I308">
        <v>1</v>
      </c>
      <c r="J308">
        <v>1</v>
      </c>
      <c r="K308">
        <v>0</v>
      </c>
      <c r="L308">
        <v>118581.88</v>
      </c>
      <c r="M308">
        <v>0</v>
      </c>
      <c r="O308" t="str">
        <f t="shared" si="8"/>
        <v/>
      </c>
      <c r="P308">
        <f t="shared" si="9"/>
        <v>118581.88</v>
      </c>
      <c r="R308" t="str">
        <f t="array" ref="R308">IFERROR(INDEX($L$2:$L$501,SMALL(IF($M$2:$M$501=1,ROW($M$2:$M$501)-1),ROW()-1)),"")</f>
        <v/>
      </c>
      <c r="S308" t="str" cm="1">
        <f t="array" ref="S308">IFERROR(INDEX($L$2:$L$501,SMALL(IF($M$2:$M$501=0,ROW($M$2:$M$501)-1),ROW()-1)),"")</f>
        <v/>
      </c>
      <c r="U308" t="str" cm="1">
        <f t="array" ref="U308">IFERROR(INDEX($C$2:$C$501,SMALL(IF($D$2:$D$501="France",ROW($D$2:$D$501)-1),ROW()-1)),"")</f>
        <v/>
      </c>
      <c r="V308" t="str" cm="1">
        <f t="array" ref="V308">IFERROR(INDEX($C$2:$C$501,SMALL(IF($D$2:$D$501="Germany",ROW($D$2:$D$501)-1),ROW()-1)),"")</f>
        <v/>
      </c>
      <c r="W308" t="str" cm="1">
        <f t="array" ref="W308">IFERROR(INDEX($C$2:$C$501,SMALL(IF($D$2:$D$501="Spain",ROW($D$2:$D$501)-1),ROW()-1)),"")</f>
        <v/>
      </c>
    </row>
    <row r="309" spans="1:23" x14ac:dyDescent="0.35">
      <c r="A309">
        <v>308</v>
      </c>
      <c r="B309" t="s">
        <v>14</v>
      </c>
      <c r="C309">
        <v>397</v>
      </c>
      <c r="D309" t="s">
        <v>23</v>
      </c>
      <c r="E309" t="s">
        <v>26</v>
      </c>
      <c r="F309">
        <v>66</v>
      </c>
      <c r="G309">
        <v>3</v>
      </c>
      <c r="H309">
        <v>232462.02</v>
      </c>
      <c r="I309">
        <v>4</v>
      </c>
      <c r="J309">
        <v>1</v>
      </c>
      <c r="K309">
        <v>1</v>
      </c>
      <c r="L309">
        <v>135716.10999999999</v>
      </c>
      <c r="M309">
        <v>1</v>
      </c>
      <c r="O309">
        <f t="shared" si="8"/>
        <v>135716.10999999999</v>
      </c>
      <c r="P309" t="str">
        <f t="shared" si="9"/>
        <v/>
      </c>
      <c r="R309" t="str">
        <f t="array" ref="R309">IFERROR(INDEX($L$2:$L$501,SMALL(IF($M$2:$M$501=1,ROW($M$2:$M$501)-1),ROW()-1)),"")</f>
        <v/>
      </c>
      <c r="S309" t="str" cm="1">
        <f t="array" ref="S309">IFERROR(INDEX($L$2:$L$501,SMALL(IF($M$2:$M$501=0,ROW($M$2:$M$501)-1),ROW()-1)),"")</f>
        <v/>
      </c>
      <c r="U309" t="str" cm="1">
        <f t="array" ref="U309">IFERROR(INDEX($C$2:$C$501,SMALL(IF($D$2:$D$501="France",ROW($D$2:$D$501)-1),ROW()-1)),"")</f>
        <v/>
      </c>
      <c r="V309" t="str" cm="1">
        <f t="array" ref="V309">IFERROR(INDEX($C$2:$C$501,SMALL(IF($D$2:$D$501="Germany",ROW($D$2:$D$501)-1),ROW()-1)),"")</f>
        <v/>
      </c>
      <c r="W309" t="str" cm="1">
        <f t="array" ref="W309">IFERROR(INDEX($C$2:$C$501,SMALL(IF($D$2:$D$501="Spain",ROW($D$2:$D$501)-1),ROW()-1)),"")</f>
        <v/>
      </c>
    </row>
    <row r="310" spans="1:23" x14ac:dyDescent="0.35">
      <c r="A310">
        <v>309</v>
      </c>
      <c r="B310" t="s">
        <v>15</v>
      </c>
      <c r="C310">
        <v>426</v>
      </c>
      <c r="D310" t="s">
        <v>22</v>
      </c>
      <c r="E310" t="s">
        <v>25</v>
      </c>
      <c r="F310">
        <v>89</v>
      </c>
      <c r="G310">
        <v>1</v>
      </c>
      <c r="H310">
        <v>178130.78</v>
      </c>
      <c r="I310">
        <v>3</v>
      </c>
      <c r="J310">
        <v>0</v>
      </c>
      <c r="K310">
        <v>1</v>
      </c>
      <c r="L310">
        <v>21570.41</v>
      </c>
      <c r="M310">
        <v>0</v>
      </c>
      <c r="O310" t="str">
        <f t="shared" si="8"/>
        <v/>
      </c>
      <c r="P310">
        <f t="shared" si="9"/>
        <v>21570.41</v>
      </c>
      <c r="R310" t="str">
        <f t="array" ref="R310">IFERROR(INDEX($L$2:$L$501,SMALL(IF($M$2:$M$501=1,ROW($M$2:$M$501)-1),ROW()-1)),"")</f>
        <v/>
      </c>
      <c r="S310" t="str" cm="1">
        <f t="array" ref="S310">IFERROR(INDEX($L$2:$L$501,SMALL(IF($M$2:$M$501=0,ROW($M$2:$M$501)-1),ROW()-1)),"")</f>
        <v/>
      </c>
      <c r="U310" t="str" cm="1">
        <f t="array" ref="U310">IFERROR(INDEX($C$2:$C$501,SMALL(IF($D$2:$D$501="France",ROW($D$2:$D$501)-1),ROW()-1)),"")</f>
        <v/>
      </c>
      <c r="V310" t="str" cm="1">
        <f t="array" ref="V310">IFERROR(INDEX($C$2:$C$501,SMALL(IF($D$2:$D$501="Germany",ROW($D$2:$D$501)-1),ROW()-1)),"")</f>
        <v/>
      </c>
      <c r="W310" t="str" cm="1">
        <f t="array" ref="W310">IFERROR(INDEX($C$2:$C$501,SMALL(IF($D$2:$D$501="Spain",ROW($D$2:$D$501)-1),ROW()-1)),"")</f>
        <v/>
      </c>
    </row>
    <row r="311" spans="1:23" x14ac:dyDescent="0.35">
      <c r="A311">
        <v>310</v>
      </c>
      <c r="B311" t="s">
        <v>20</v>
      </c>
      <c r="C311">
        <v>499</v>
      </c>
      <c r="D311" t="s">
        <v>23</v>
      </c>
      <c r="E311" t="s">
        <v>26</v>
      </c>
      <c r="F311">
        <v>85</v>
      </c>
      <c r="G311">
        <v>10</v>
      </c>
      <c r="H311">
        <v>203018.63</v>
      </c>
      <c r="I311">
        <v>2</v>
      </c>
      <c r="J311">
        <v>1</v>
      </c>
      <c r="K311">
        <v>1</v>
      </c>
      <c r="L311">
        <v>57175.83</v>
      </c>
      <c r="M311">
        <v>1</v>
      </c>
      <c r="O311">
        <f t="shared" si="8"/>
        <v>57175.83</v>
      </c>
      <c r="P311" t="str">
        <f t="shared" si="9"/>
        <v/>
      </c>
      <c r="R311" t="str">
        <f t="array" ref="R311">IFERROR(INDEX($L$2:$L$501,SMALL(IF($M$2:$M$501=1,ROW($M$2:$M$501)-1),ROW()-1)),"")</f>
        <v/>
      </c>
      <c r="S311" t="str" cm="1">
        <f t="array" ref="S311">IFERROR(INDEX($L$2:$L$501,SMALL(IF($M$2:$M$501=0,ROW($M$2:$M$501)-1),ROW()-1)),"")</f>
        <v/>
      </c>
      <c r="U311" t="str" cm="1">
        <f t="array" ref="U311">IFERROR(INDEX($C$2:$C$501,SMALL(IF($D$2:$D$501="France",ROW($D$2:$D$501)-1),ROW()-1)),"")</f>
        <v/>
      </c>
      <c r="V311" t="str" cm="1">
        <f t="array" ref="V311">IFERROR(INDEX($C$2:$C$501,SMALL(IF($D$2:$D$501="Germany",ROW($D$2:$D$501)-1),ROW()-1)),"")</f>
        <v/>
      </c>
      <c r="W311" t="str" cm="1">
        <f t="array" ref="W311">IFERROR(INDEX($C$2:$C$501,SMALL(IF($D$2:$D$501="Spain",ROW($D$2:$D$501)-1),ROW()-1)),"")</f>
        <v/>
      </c>
    </row>
    <row r="312" spans="1:23" x14ac:dyDescent="0.35">
      <c r="A312">
        <v>311</v>
      </c>
      <c r="B312" t="s">
        <v>12</v>
      </c>
      <c r="C312">
        <v>470</v>
      </c>
      <c r="D312" t="s">
        <v>24</v>
      </c>
      <c r="E312" t="s">
        <v>25</v>
      </c>
      <c r="F312">
        <v>89</v>
      </c>
      <c r="G312">
        <v>6</v>
      </c>
      <c r="H312">
        <v>113690.36</v>
      </c>
      <c r="I312">
        <v>4</v>
      </c>
      <c r="J312">
        <v>0</v>
      </c>
      <c r="K312">
        <v>1</v>
      </c>
      <c r="L312">
        <v>87583.039999999994</v>
      </c>
      <c r="M312">
        <v>1</v>
      </c>
      <c r="O312">
        <f t="shared" si="8"/>
        <v>87583.039999999994</v>
      </c>
      <c r="P312" t="str">
        <f t="shared" si="9"/>
        <v/>
      </c>
      <c r="R312" t="str">
        <f t="array" ref="R312">IFERROR(INDEX($L$2:$L$501,SMALL(IF($M$2:$M$501=1,ROW($M$2:$M$501)-1),ROW()-1)),"")</f>
        <v/>
      </c>
      <c r="S312" t="str" cm="1">
        <f t="array" ref="S312">IFERROR(INDEX($L$2:$L$501,SMALL(IF($M$2:$M$501=0,ROW($M$2:$M$501)-1),ROW()-1)),"")</f>
        <v/>
      </c>
      <c r="U312" t="str" cm="1">
        <f t="array" ref="U312">IFERROR(INDEX($C$2:$C$501,SMALL(IF($D$2:$D$501="France",ROW($D$2:$D$501)-1),ROW()-1)),"")</f>
        <v/>
      </c>
      <c r="V312" t="str" cm="1">
        <f t="array" ref="V312">IFERROR(INDEX($C$2:$C$501,SMALL(IF($D$2:$D$501="Germany",ROW($D$2:$D$501)-1),ROW()-1)),"")</f>
        <v/>
      </c>
      <c r="W312" t="str" cm="1">
        <f t="array" ref="W312">IFERROR(INDEX($C$2:$C$501,SMALL(IF($D$2:$D$501="Spain",ROW($D$2:$D$501)-1),ROW()-1)),"")</f>
        <v/>
      </c>
    </row>
    <row r="313" spans="1:23" x14ac:dyDescent="0.35">
      <c r="A313">
        <v>312</v>
      </c>
      <c r="B313" t="s">
        <v>13</v>
      </c>
      <c r="C313">
        <v>624</v>
      </c>
      <c r="D313" t="s">
        <v>23</v>
      </c>
      <c r="E313" t="s">
        <v>25</v>
      </c>
      <c r="F313">
        <v>80</v>
      </c>
      <c r="G313">
        <v>10</v>
      </c>
      <c r="H313">
        <v>81815.67</v>
      </c>
      <c r="I313">
        <v>4</v>
      </c>
      <c r="J313">
        <v>0</v>
      </c>
      <c r="K313">
        <v>0</v>
      </c>
      <c r="L313">
        <v>129536.99</v>
      </c>
      <c r="M313">
        <v>0</v>
      </c>
      <c r="O313" t="str">
        <f t="shared" si="8"/>
        <v/>
      </c>
      <c r="P313">
        <f t="shared" si="9"/>
        <v>129536.99</v>
      </c>
      <c r="R313" t="str">
        <f t="array" ref="R313">IFERROR(INDEX($L$2:$L$501,SMALL(IF($M$2:$M$501=1,ROW($M$2:$M$501)-1),ROW()-1)),"")</f>
        <v/>
      </c>
      <c r="S313" t="str" cm="1">
        <f t="array" ref="S313">IFERROR(INDEX($L$2:$L$501,SMALL(IF($M$2:$M$501=0,ROW($M$2:$M$501)-1),ROW()-1)),"")</f>
        <v/>
      </c>
      <c r="U313" t="str" cm="1">
        <f t="array" ref="U313">IFERROR(INDEX($C$2:$C$501,SMALL(IF($D$2:$D$501="France",ROW($D$2:$D$501)-1),ROW()-1)),"")</f>
        <v/>
      </c>
      <c r="V313" t="str" cm="1">
        <f t="array" ref="V313">IFERROR(INDEX($C$2:$C$501,SMALL(IF($D$2:$D$501="Germany",ROW($D$2:$D$501)-1),ROW()-1)),"")</f>
        <v/>
      </c>
      <c r="W313" t="str" cm="1">
        <f t="array" ref="W313">IFERROR(INDEX($C$2:$C$501,SMALL(IF($D$2:$D$501="Spain",ROW($D$2:$D$501)-1),ROW()-1)),"")</f>
        <v/>
      </c>
    </row>
    <row r="314" spans="1:23" x14ac:dyDescent="0.35">
      <c r="A314">
        <v>313</v>
      </c>
      <c r="B314" t="s">
        <v>20</v>
      </c>
      <c r="C314">
        <v>695</v>
      </c>
      <c r="D314" t="s">
        <v>24</v>
      </c>
      <c r="E314" t="s">
        <v>26</v>
      </c>
      <c r="F314">
        <v>90</v>
      </c>
      <c r="G314">
        <v>0</v>
      </c>
      <c r="H314">
        <v>34576.69</v>
      </c>
      <c r="I314">
        <v>4</v>
      </c>
      <c r="J314">
        <v>0</v>
      </c>
      <c r="K314">
        <v>0</v>
      </c>
      <c r="L314">
        <v>87838.32</v>
      </c>
      <c r="M314">
        <v>1</v>
      </c>
      <c r="O314">
        <f t="shared" si="8"/>
        <v>87838.32</v>
      </c>
      <c r="P314" t="str">
        <f t="shared" si="9"/>
        <v/>
      </c>
      <c r="R314" t="str">
        <f t="array" ref="R314">IFERROR(INDEX($L$2:$L$501,SMALL(IF($M$2:$M$501=1,ROW($M$2:$M$501)-1),ROW()-1)),"")</f>
        <v/>
      </c>
      <c r="S314" t="str" cm="1">
        <f t="array" ref="S314">IFERROR(INDEX($L$2:$L$501,SMALL(IF($M$2:$M$501=0,ROW($M$2:$M$501)-1),ROW()-1)),"")</f>
        <v/>
      </c>
      <c r="U314" t="str" cm="1">
        <f t="array" ref="U314">IFERROR(INDEX($C$2:$C$501,SMALL(IF($D$2:$D$501="France",ROW($D$2:$D$501)-1),ROW()-1)),"")</f>
        <v/>
      </c>
      <c r="V314" t="str" cm="1">
        <f t="array" ref="V314">IFERROR(INDEX($C$2:$C$501,SMALL(IF($D$2:$D$501="Germany",ROW($D$2:$D$501)-1),ROW()-1)),"")</f>
        <v/>
      </c>
      <c r="W314" t="str" cm="1">
        <f t="array" ref="W314">IFERROR(INDEX($C$2:$C$501,SMALL(IF($D$2:$D$501="Spain",ROW($D$2:$D$501)-1),ROW()-1)),"")</f>
        <v/>
      </c>
    </row>
    <row r="315" spans="1:23" x14ac:dyDescent="0.35">
      <c r="A315">
        <v>314</v>
      </c>
      <c r="B315" t="s">
        <v>12</v>
      </c>
      <c r="C315">
        <v>363</v>
      </c>
      <c r="D315" t="s">
        <v>22</v>
      </c>
      <c r="E315" t="s">
        <v>25</v>
      </c>
      <c r="F315">
        <v>55</v>
      </c>
      <c r="G315">
        <v>7</v>
      </c>
      <c r="H315">
        <v>156344.54</v>
      </c>
      <c r="I315">
        <v>2</v>
      </c>
      <c r="J315">
        <v>0</v>
      </c>
      <c r="K315">
        <v>0</v>
      </c>
      <c r="L315">
        <v>90381.04</v>
      </c>
      <c r="M315">
        <v>1</v>
      </c>
      <c r="O315">
        <f t="shared" si="8"/>
        <v>90381.04</v>
      </c>
      <c r="P315" t="str">
        <f t="shared" si="9"/>
        <v/>
      </c>
      <c r="R315" t="str">
        <f t="array" ref="R315">IFERROR(INDEX($L$2:$L$501,SMALL(IF($M$2:$M$501=1,ROW($M$2:$M$501)-1),ROW()-1)),"")</f>
        <v/>
      </c>
      <c r="S315" t="str" cm="1">
        <f t="array" ref="S315">IFERROR(INDEX($L$2:$L$501,SMALL(IF($M$2:$M$501=0,ROW($M$2:$M$501)-1),ROW()-1)),"")</f>
        <v/>
      </c>
      <c r="U315" t="str" cm="1">
        <f t="array" ref="U315">IFERROR(INDEX($C$2:$C$501,SMALL(IF($D$2:$D$501="France",ROW($D$2:$D$501)-1),ROW()-1)),"")</f>
        <v/>
      </c>
      <c r="V315" t="str" cm="1">
        <f t="array" ref="V315">IFERROR(INDEX($C$2:$C$501,SMALL(IF($D$2:$D$501="Germany",ROW($D$2:$D$501)-1),ROW()-1)),"")</f>
        <v/>
      </c>
      <c r="W315" t="str" cm="1">
        <f t="array" ref="W315">IFERROR(INDEX($C$2:$C$501,SMALL(IF($D$2:$D$501="Spain",ROW($D$2:$D$501)-1),ROW()-1)),"")</f>
        <v/>
      </c>
    </row>
    <row r="316" spans="1:23" x14ac:dyDescent="0.35">
      <c r="A316">
        <v>315</v>
      </c>
      <c r="B316" t="s">
        <v>18</v>
      </c>
      <c r="C316">
        <v>572</v>
      </c>
      <c r="D316" t="s">
        <v>24</v>
      </c>
      <c r="E316" t="s">
        <v>25</v>
      </c>
      <c r="F316">
        <v>23</v>
      </c>
      <c r="G316">
        <v>6</v>
      </c>
      <c r="H316">
        <v>169958.77</v>
      </c>
      <c r="I316">
        <v>2</v>
      </c>
      <c r="J316">
        <v>1</v>
      </c>
      <c r="K316">
        <v>0</v>
      </c>
      <c r="L316">
        <v>90227.36</v>
      </c>
      <c r="M316">
        <v>1</v>
      </c>
      <c r="O316">
        <f t="shared" si="8"/>
        <v>90227.36</v>
      </c>
      <c r="P316" t="str">
        <f t="shared" si="9"/>
        <v/>
      </c>
      <c r="R316" t="str">
        <f t="array" ref="R316">IFERROR(INDEX($L$2:$L$501,SMALL(IF($M$2:$M$501=1,ROW($M$2:$M$501)-1),ROW()-1)),"")</f>
        <v/>
      </c>
      <c r="S316" t="str" cm="1">
        <f t="array" ref="S316">IFERROR(INDEX($L$2:$L$501,SMALL(IF($M$2:$M$501=0,ROW($M$2:$M$501)-1),ROW()-1)),"")</f>
        <v/>
      </c>
      <c r="U316" t="str" cm="1">
        <f t="array" ref="U316">IFERROR(INDEX($C$2:$C$501,SMALL(IF($D$2:$D$501="France",ROW($D$2:$D$501)-1),ROW()-1)),"")</f>
        <v/>
      </c>
      <c r="V316" t="str" cm="1">
        <f t="array" ref="V316">IFERROR(INDEX($C$2:$C$501,SMALL(IF($D$2:$D$501="Germany",ROW($D$2:$D$501)-1),ROW()-1)),"")</f>
        <v/>
      </c>
      <c r="W316" t="str" cm="1">
        <f t="array" ref="W316">IFERROR(INDEX($C$2:$C$501,SMALL(IF($D$2:$D$501="Spain",ROW($D$2:$D$501)-1),ROW()-1)),"")</f>
        <v/>
      </c>
    </row>
    <row r="317" spans="1:23" x14ac:dyDescent="0.35">
      <c r="A317">
        <v>316</v>
      </c>
      <c r="B317" t="s">
        <v>15</v>
      </c>
      <c r="C317">
        <v>442</v>
      </c>
      <c r="D317" t="s">
        <v>24</v>
      </c>
      <c r="E317" t="s">
        <v>26</v>
      </c>
      <c r="F317">
        <v>73</v>
      </c>
      <c r="G317">
        <v>4</v>
      </c>
      <c r="H317">
        <v>232599.36</v>
      </c>
      <c r="I317">
        <v>3</v>
      </c>
      <c r="J317">
        <v>0</v>
      </c>
      <c r="K317">
        <v>1</v>
      </c>
      <c r="L317">
        <v>103203.97</v>
      </c>
      <c r="M317">
        <v>0</v>
      </c>
      <c r="O317" t="str">
        <f t="shared" si="8"/>
        <v/>
      </c>
      <c r="P317">
        <f t="shared" si="9"/>
        <v>103203.97</v>
      </c>
      <c r="R317" t="str">
        <f t="array" ref="R317">IFERROR(INDEX($L$2:$L$501,SMALL(IF($M$2:$M$501=1,ROW($M$2:$M$501)-1),ROW()-1)),"")</f>
        <v/>
      </c>
      <c r="S317" t="str" cm="1">
        <f t="array" ref="S317">IFERROR(INDEX($L$2:$L$501,SMALL(IF($M$2:$M$501=0,ROW($M$2:$M$501)-1),ROW()-1)),"")</f>
        <v/>
      </c>
      <c r="U317" t="str" cm="1">
        <f t="array" ref="U317">IFERROR(INDEX($C$2:$C$501,SMALL(IF($D$2:$D$501="France",ROW($D$2:$D$501)-1),ROW()-1)),"")</f>
        <v/>
      </c>
      <c r="V317" t="str" cm="1">
        <f t="array" ref="V317">IFERROR(INDEX($C$2:$C$501,SMALL(IF($D$2:$D$501="Germany",ROW($D$2:$D$501)-1),ROW()-1)),"")</f>
        <v/>
      </c>
      <c r="W317" t="str" cm="1">
        <f t="array" ref="W317">IFERROR(INDEX($C$2:$C$501,SMALL(IF($D$2:$D$501="Spain",ROW($D$2:$D$501)-1),ROW()-1)),"")</f>
        <v/>
      </c>
    </row>
    <row r="318" spans="1:23" x14ac:dyDescent="0.35">
      <c r="A318">
        <v>317</v>
      </c>
      <c r="B318" t="s">
        <v>18</v>
      </c>
      <c r="C318">
        <v>586</v>
      </c>
      <c r="D318" t="s">
        <v>22</v>
      </c>
      <c r="E318" t="s">
        <v>26</v>
      </c>
      <c r="F318">
        <v>64</v>
      </c>
      <c r="G318">
        <v>9</v>
      </c>
      <c r="H318">
        <v>31288.48</v>
      </c>
      <c r="I318">
        <v>2</v>
      </c>
      <c r="J318">
        <v>0</v>
      </c>
      <c r="K318">
        <v>0</v>
      </c>
      <c r="L318">
        <v>111373.48</v>
      </c>
      <c r="M318">
        <v>0</v>
      </c>
      <c r="O318" t="str">
        <f t="shared" si="8"/>
        <v/>
      </c>
      <c r="P318">
        <f t="shared" si="9"/>
        <v>111373.48</v>
      </c>
      <c r="R318" t="str">
        <f t="array" ref="R318">IFERROR(INDEX($L$2:$L$501,SMALL(IF($M$2:$M$501=1,ROW($M$2:$M$501)-1),ROW()-1)),"")</f>
        <v/>
      </c>
      <c r="S318" t="str" cm="1">
        <f t="array" ref="S318">IFERROR(INDEX($L$2:$L$501,SMALL(IF($M$2:$M$501=0,ROW($M$2:$M$501)-1),ROW()-1)),"")</f>
        <v/>
      </c>
      <c r="U318" t="str" cm="1">
        <f t="array" ref="U318">IFERROR(INDEX($C$2:$C$501,SMALL(IF($D$2:$D$501="France",ROW($D$2:$D$501)-1),ROW()-1)),"")</f>
        <v/>
      </c>
      <c r="V318" t="str" cm="1">
        <f t="array" ref="V318">IFERROR(INDEX($C$2:$C$501,SMALL(IF($D$2:$D$501="Germany",ROW($D$2:$D$501)-1),ROW()-1)),"")</f>
        <v/>
      </c>
      <c r="W318" t="str" cm="1">
        <f t="array" ref="W318">IFERROR(INDEX($C$2:$C$501,SMALL(IF($D$2:$D$501="Spain",ROW($D$2:$D$501)-1),ROW()-1)),"")</f>
        <v/>
      </c>
    </row>
    <row r="319" spans="1:23" x14ac:dyDescent="0.35">
      <c r="A319">
        <v>318</v>
      </c>
      <c r="B319" t="s">
        <v>21</v>
      </c>
      <c r="C319">
        <v>455</v>
      </c>
      <c r="D319" t="s">
        <v>24</v>
      </c>
      <c r="E319" t="s">
        <v>25</v>
      </c>
      <c r="F319">
        <v>56</v>
      </c>
      <c r="G319">
        <v>2</v>
      </c>
      <c r="H319">
        <v>184265.11</v>
      </c>
      <c r="I319">
        <v>1</v>
      </c>
      <c r="J319">
        <v>1</v>
      </c>
      <c r="K319">
        <v>0</v>
      </c>
      <c r="L319">
        <v>106046.27</v>
      </c>
      <c r="M319">
        <v>1</v>
      </c>
      <c r="O319">
        <f t="shared" si="8"/>
        <v>106046.27</v>
      </c>
      <c r="P319" t="str">
        <f t="shared" si="9"/>
        <v/>
      </c>
      <c r="R319" t="str">
        <f t="array" ref="R319">IFERROR(INDEX($L$2:$L$501,SMALL(IF($M$2:$M$501=1,ROW($M$2:$M$501)-1),ROW()-1)),"")</f>
        <v/>
      </c>
      <c r="S319" t="str" cm="1">
        <f t="array" ref="S319">IFERROR(INDEX($L$2:$L$501,SMALL(IF($M$2:$M$501=0,ROW($M$2:$M$501)-1),ROW()-1)),"")</f>
        <v/>
      </c>
      <c r="U319" t="str" cm="1">
        <f t="array" ref="U319">IFERROR(INDEX($C$2:$C$501,SMALL(IF($D$2:$D$501="France",ROW($D$2:$D$501)-1),ROW()-1)),"")</f>
        <v/>
      </c>
      <c r="V319" t="str" cm="1">
        <f t="array" ref="V319">IFERROR(INDEX($C$2:$C$501,SMALL(IF($D$2:$D$501="Germany",ROW($D$2:$D$501)-1),ROW()-1)),"")</f>
        <v/>
      </c>
      <c r="W319" t="str" cm="1">
        <f t="array" ref="W319">IFERROR(INDEX($C$2:$C$501,SMALL(IF($D$2:$D$501="Spain",ROW($D$2:$D$501)-1),ROW()-1)),"")</f>
        <v/>
      </c>
    </row>
    <row r="320" spans="1:23" x14ac:dyDescent="0.35">
      <c r="A320">
        <v>319</v>
      </c>
      <c r="B320" t="s">
        <v>14</v>
      </c>
      <c r="C320">
        <v>563</v>
      </c>
      <c r="D320" t="s">
        <v>22</v>
      </c>
      <c r="E320" t="s">
        <v>25</v>
      </c>
      <c r="F320">
        <v>67</v>
      </c>
      <c r="G320">
        <v>3</v>
      </c>
      <c r="H320">
        <v>136635</v>
      </c>
      <c r="I320">
        <v>1</v>
      </c>
      <c r="J320">
        <v>1</v>
      </c>
      <c r="K320">
        <v>1</v>
      </c>
      <c r="L320">
        <v>29342.26</v>
      </c>
      <c r="M320">
        <v>1</v>
      </c>
      <c r="O320">
        <f t="shared" si="8"/>
        <v>29342.26</v>
      </c>
      <c r="P320" t="str">
        <f t="shared" si="9"/>
        <v/>
      </c>
      <c r="R320" t="str">
        <f t="array" ref="R320">IFERROR(INDEX($L$2:$L$501,SMALL(IF($M$2:$M$501=1,ROW($M$2:$M$501)-1),ROW()-1)),"")</f>
        <v/>
      </c>
      <c r="S320" t="str" cm="1">
        <f t="array" ref="S320">IFERROR(INDEX($L$2:$L$501,SMALL(IF($M$2:$M$501=0,ROW($M$2:$M$501)-1),ROW()-1)),"")</f>
        <v/>
      </c>
      <c r="U320" t="str" cm="1">
        <f t="array" ref="U320">IFERROR(INDEX($C$2:$C$501,SMALL(IF($D$2:$D$501="France",ROW($D$2:$D$501)-1),ROW()-1)),"")</f>
        <v/>
      </c>
      <c r="V320" t="str" cm="1">
        <f t="array" ref="V320">IFERROR(INDEX($C$2:$C$501,SMALL(IF($D$2:$D$501="Germany",ROW($D$2:$D$501)-1),ROW()-1)),"")</f>
        <v/>
      </c>
      <c r="W320" t="str" cm="1">
        <f t="array" ref="W320">IFERROR(INDEX($C$2:$C$501,SMALL(IF($D$2:$D$501="Spain",ROW($D$2:$D$501)-1),ROW()-1)),"")</f>
        <v/>
      </c>
    </row>
    <row r="321" spans="1:23" x14ac:dyDescent="0.35">
      <c r="A321">
        <v>320</v>
      </c>
      <c r="B321" t="s">
        <v>14</v>
      </c>
      <c r="C321">
        <v>356</v>
      </c>
      <c r="D321" t="s">
        <v>22</v>
      </c>
      <c r="E321" t="s">
        <v>26</v>
      </c>
      <c r="F321">
        <v>26</v>
      </c>
      <c r="G321">
        <v>10</v>
      </c>
      <c r="H321">
        <v>114332.53</v>
      </c>
      <c r="I321">
        <v>3</v>
      </c>
      <c r="J321">
        <v>0</v>
      </c>
      <c r="K321">
        <v>0</v>
      </c>
      <c r="L321">
        <v>148688.76999999999</v>
      </c>
      <c r="M321">
        <v>1</v>
      </c>
      <c r="O321">
        <f t="shared" si="8"/>
        <v>148688.76999999999</v>
      </c>
      <c r="P321" t="str">
        <f t="shared" si="9"/>
        <v/>
      </c>
      <c r="R321" t="str">
        <f t="array" ref="R321">IFERROR(INDEX($L$2:$L$501,SMALL(IF($M$2:$M$501=1,ROW($M$2:$M$501)-1),ROW()-1)),"")</f>
        <v/>
      </c>
      <c r="S321" t="str" cm="1">
        <f t="array" ref="S321">IFERROR(INDEX($L$2:$L$501,SMALL(IF($M$2:$M$501=0,ROW($M$2:$M$501)-1),ROW()-1)),"")</f>
        <v/>
      </c>
      <c r="U321" t="str" cm="1">
        <f t="array" ref="U321">IFERROR(INDEX($C$2:$C$501,SMALL(IF($D$2:$D$501="France",ROW($D$2:$D$501)-1),ROW()-1)),"")</f>
        <v/>
      </c>
      <c r="V321" t="str" cm="1">
        <f t="array" ref="V321">IFERROR(INDEX($C$2:$C$501,SMALL(IF($D$2:$D$501="Germany",ROW($D$2:$D$501)-1),ROW()-1)),"")</f>
        <v/>
      </c>
      <c r="W321" t="str" cm="1">
        <f t="array" ref="W321">IFERROR(INDEX($C$2:$C$501,SMALL(IF($D$2:$D$501="Spain",ROW($D$2:$D$501)-1),ROW()-1)),"")</f>
        <v/>
      </c>
    </row>
    <row r="322" spans="1:23" x14ac:dyDescent="0.35">
      <c r="A322">
        <v>321</v>
      </c>
      <c r="B322" t="s">
        <v>16</v>
      </c>
      <c r="C322">
        <v>450</v>
      </c>
      <c r="D322" t="s">
        <v>22</v>
      </c>
      <c r="E322" t="s">
        <v>25</v>
      </c>
      <c r="F322">
        <v>83</v>
      </c>
      <c r="G322">
        <v>6</v>
      </c>
      <c r="H322">
        <v>188229.59</v>
      </c>
      <c r="I322">
        <v>2</v>
      </c>
      <c r="J322">
        <v>0</v>
      </c>
      <c r="K322">
        <v>0</v>
      </c>
      <c r="L322">
        <v>129283.37</v>
      </c>
      <c r="M322">
        <v>1</v>
      </c>
      <c r="O322">
        <f t="shared" si="8"/>
        <v>129283.37</v>
      </c>
      <c r="P322" t="str">
        <f t="shared" si="9"/>
        <v/>
      </c>
      <c r="R322" t="str">
        <f t="array" ref="R322">IFERROR(INDEX($L$2:$L$501,SMALL(IF($M$2:$M$501=1,ROW($M$2:$M$501)-1),ROW()-1)),"")</f>
        <v/>
      </c>
      <c r="S322" t="str" cm="1">
        <f t="array" ref="S322">IFERROR(INDEX($L$2:$L$501,SMALL(IF($M$2:$M$501=0,ROW($M$2:$M$501)-1),ROW()-1)),"")</f>
        <v/>
      </c>
      <c r="U322" t="str" cm="1">
        <f t="array" ref="U322">IFERROR(INDEX($C$2:$C$501,SMALL(IF($D$2:$D$501="France",ROW($D$2:$D$501)-1),ROW()-1)),"")</f>
        <v/>
      </c>
      <c r="V322" t="str" cm="1">
        <f t="array" ref="V322">IFERROR(INDEX($C$2:$C$501,SMALL(IF($D$2:$D$501="Germany",ROW($D$2:$D$501)-1),ROW()-1)),"")</f>
        <v/>
      </c>
      <c r="W322" t="str" cm="1">
        <f t="array" ref="W322">IFERROR(INDEX($C$2:$C$501,SMALL(IF($D$2:$D$501="Spain",ROW($D$2:$D$501)-1),ROW()-1)),"")</f>
        <v/>
      </c>
    </row>
    <row r="323" spans="1:23" x14ac:dyDescent="0.35">
      <c r="A323">
        <v>322</v>
      </c>
      <c r="B323" t="s">
        <v>17</v>
      </c>
      <c r="C323">
        <v>398</v>
      </c>
      <c r="D323" t="s">
        <v>24</v>
      </c>
      <c r="E323" t="s">
        <v>25</v>
      </c>
      <c r="F323">
        <v>84</v>
      </c>
      <c r="G323">
        <v>6</v>
      </c>
      <c r="H323">
        <v>151818.88</v>
      </c>
      <c r="I323">
        <v>3</v>
      </c>
      <c r="J323">
        <v>1</v>
      </c>
      <c r="K323">
        <v>0</v>
      </c>
      <c r="L323">
        <v>76167.42</v>
      </c>
      <c r="M323">
        <v>0</v>
      </c>
      <c r="O323" t="str">
        <f t="shared" ref="O323:O386" si="10">IF($M323=1,$L323,"")</f>
        <v/>
      </c>
      <c r="P323">
        <f t="shared" ref="P323:P386" si="11">IF($M323=0,$L323,"")</f>
        <v>76167.42</v>
      </c>
      <c r="R323" t="str">
        <f t="array" ref="R323">IFERROR(INDEX($L$2:$L$501,SMALL(IF($M$2:$M$501=1,ROW($M$2:$M$501)-1),ROW()-1)),"")</f>
        <v/>
      </c>
      <c r="S323" t="str" cm="1">
        <f t="array" ref="S323">IFERROR(INDEX($L$2:$L$501,SMALL(IF($M$2:$M$501=0,ROW($M$2:$M$501)-1),ROW()-1)),"")</f>
        <v/>
      </c>
      <c r="U323" t="str" cm="1">
        <f t="array" ref="U323">IFERROR(INDEX($C$2:$C$501,SMALL(IF($D$2:$D$501="France",ROW($D$2:$D$501)-1),ROW()-1)),"")</f>
        <v/>
      </c>
      <c r="V323" t="str" cm="1">
        <f t="array" ref="V323">IFERROR(INDEX($C$2:$C$501,SMALL(IF($D$2:$D$501="Germany",ROW($D$2:$D$501)-1),ROW()-1)),"")</f>
        <v/>
      </c>
      <c r="W323" t="str" cm="1">
        <f t="array" ref="W323">IFERROR(INDEX($C$2:$C$501,SMALL(IF($D$2:$D$501="Spain",ROW($D$2:$D$501)-1),ROW()-1)),"")</f>
        <v/>
      </c>
    </row>
    <row r="324" spans="1:23" x14ac:dyDescent="0.35">
      <c r="A324">
        <v>323</v>
      </c>
      <c r="B324" t="s">
        <v>12</v>
      </c>
      <c r="C324">
        <v>390</v>
      </c>
      <c r="D324" t="s">
        <v>22</v>
      </c>
      <c r="E324" t="s">
        <v>25</v>
      </c>
      <c r="F324">
        <v>80</v>
      </c>
      <c r="G324">
        <v>2</v>
      </c>
      <c r="H324">
        <v>25688.61</v>
      </c>
      <c r="I324">
        <v>3</v>
      </c>
      <c r="J324">
        <v>0</v>
      </c>
      <c r="K324">
        <v>1</v>
      </c>
      <c r="L324">
        <v>100083.34</v>
      </c>
      <c r="M324">
        <v>1</v>
      </c>
      <c r="O324">
        <f t="shared" si="10"/>
        <v>100083.34</v>
      </c>
      <c r="P324" t="str">
        <f t="shared" si="11"/>
        <v/>
      </c>
      <c r="R324" t="str">
        <f t="array" ref="R324">IFERROR(INDEX($L$2:$L$501,SMALL(IF($M$2:$M$501=1,ROW($M$2:$M$501)-1),ROW()-1)),"")</f>
        <v/>
      </c>
      <c r="S324" t="str" cm="1">
        <f t="array" ref="S324">IFERROR(INDEX($L$2:$L$501,SMALL(IF($M$2:$M$501=0,ROW($M$2:$M$501)-1),ROW()-1)),"")</f>
        <v/>
      </c>
      <c r="U324" t="str" cm="1">
        <f t="array" ref="U324">IFERROR(INDEX($C$2:$C$501,SMALL(IF($D$2:$D$501="France",ROW($D$2:$D$501)-1),ROW()-1)),"")</f>
        <v/>
      </c>
      <c r="V324" t="str" cm="1">
        <f t="array" ref="V324">IFERROR(INDEX($C$2:$C$501,SMALL(IF($D$2:$D$501="Germany",ROW($D$2:$D$501)-1),ROW()-1)),"")</f>
        <v/>
      </c>
      <c r="W324" t="str" cm="1">
        <f t="array" ref="W324">IFERROR(INDEX($C$2:$C$501,SMALL(IF($D$2:$D$501="Spain",ROW($D$2:$D$501)-1),ROW()-1)),"")</f>
        <v/>
      </c>
    </row>
    <row r="325" spans="1:23" x14ac:dyDescent="0.35">
      <c r="A325">
        <v>324</v>
      </c>
      <c r="B325" t="s">
        <v>17</v>
      </c>
      <c r="C325">
        <v>760</v>
      </c>
      <c r="D325" t="s">
        <v>23</v>
      </c>
      <c r="E325" t="s">
        <v>26</v>
      </c>
      <c r="F325">
        <v>34</v>
      </c>
      <c r="G325">
        <v>1</v>
      </c>
      <c r="H325">
        <v>104789.1</v>
      </c>
      <c r="I325">
        <v>2</v>
      </c>
      <c r="J325">
        <v>1</v>
      </c>
      <c r="K325">
        <v>0</v>
      </c>
      <c r="L325">
        <v>47420.92</v>
      </c>
      <c r="M325">
        <v>1</v>
      </c>
      <c r="O325">
        <f t="shared" si="10"/>
        <v>47420.92</v>
      </c>
      <c r="P325" t="str">
        <f t="shared" si="11"/>
        <v/>
      </c>
      <c r="R325" t="str">
        <f t="array" ref="R325">IFERROR(INDEX($L$2:$L$501,SMALL(IF($M$2:$M$501=1,ROW($M$2:$M$501)-1),ROW()-1)),"")</f>
        <v/>
      </c>
      <c r="S325" t="str" cm="1">
        <f t="array" ref="S325">IFERROR(INDEX($L$2:$L$501,SMALL(IF($M$2:$M$501=0,ROW($M$2:$M$501)-1),ROW()-1)),"")</f>
        <v/>
      </c>
      <c r="U325" t="str" cm="1">
        <f t="array" ref="U325">IFERROR(INDEX($C$2:$C$501,SMALL(IF($D$2:$D$501="France",ROW($D$2:$D$501)-1),ROW()-1)),"")</f>
        <v/>
      </c>
      <c r="V325" t="str" cm="1">
        <f t="array" ref="V325">IFERROR(INDEX($C$2:$C$501,SMALL(IF($D$2:$D$501="Germany",ROW($D$2:$D$501)-1),ROW()-1)),"")</f>
        <v/>
      </c>
      <c r="W325" t="str" cm="1">
        <f t="array" ref="W325">IFERROR(INDEX($C$2:$C$501,SMALL(IF($D$2:$D$501="Spain",ROW($D$2:$D$501)-1),ROW()-1)),"")</f>
        <v/>
      </c>
    </row>
    <row r="326" spans="1:23" x14ac:dyDescent="0.35">
      <c r="A326">
        <v>325</v>
      </c>
      <c r="B326" t="s">
        <v>14</v>
      </c>
      <c r="C326">
        <v>508</v>
      </c>
      <c r="D326" t="s">
        <v>24</v>
      </c>
      <c r="E326" t="s">
        <v>25</v>
      </c>
      <c r="F326">
        <v>79</v>
      </c>
      <c r="G326">
        <v>10</v>
      </c>
      <c r="H326">
        <v>248917.55</v>
      </c>
      <c r="I326">
        <v>4</v>
      </c>
      <c r="J326">
        <v>1</v>
      </c>
      <c r="K326">
        <v>0</v>
      </c>
      <c r="L326">
        <v>126187.32</v>
      </c>
      <c r="M326">
        <v>0</v>
      </c>
      <c r="O326" t="str">
        <f t="shared" si="10"/>
        <v/>
      </c>
      <c r="P326">
        <f t="shared" si="11"/>
        <v>126187.32</v>
      </c>
      <c r="R326" t="str">
        <f t="array" ref="R326">IFERROR(INDEX($L$2:$L$501,SMALL(IF($M$2:$M$501=1,ROW($M$2:$M$501)-1),ROW()-1)),"")</f>
        <v/>
      </c>
      <c r="S326" t="str" cm="1">
        <f t="array" ref="S326">IFERROR(INDEX($L$2:$L$501,SMALL(IF($M$2:$M$501=0,ROW($M$2:$M$501)-1),ROW()-1)),"")</f>
        <v/>
      </c>
      <c r="U326" t="str" cm="1">
        <f t="array" ref="U326">IFERROR(INDEX($C$2:$C$501,SMALL(IF($D$2:$D$501="France",ROW($D$2:$D$501)-1),ROW()-1)),"")</f>
        <v/>
      </c>
      <c r="V326" t="str" cm="1">
        <f t="array" ref="V326">IFERROR(INDEX($C$2:$C$501,SMALL(IF($D$2:$D$501="Germany",ROW($D$2:$D$501)-1),ROW()-1)),"")</f>
        <v/>
      </c>
      <c r="W326" t="str" cm="1">
        <f t="array" ref="W326">IFERROR(INDEX($C$2:$C$501,SMALL(IF($D$2:$D$501="Spain",ROW($D$2:$D$501)-1),ROW()-1)),"")</f>
        <v/>
      </c>
    </row>
    <row r="327" spans="1:23" x14ac:dyDescent="0.35">
      <c r="A327">
        <v>326</v>
      </c>
      <c r="B327" t="s">
        <v>12</v>
      </c>
      <c r="C327">
        <v>739</v>
      </c>
      <c r="D327" t="s">
        <v>24</v>
      </c>
      <c r="E327" t="s">
        <v>25</v>
      </c>
      <c r="F327">
        <v>84</v>
      </c>
      <c r="G327">
        <v>7</v>
      </c>
      <c r="H327">
        <v>191888.81</v>
      </c>
      <c r="I327">
        <v>2</v>
      </c>
      <c r="J327">
        <v>1</v>
      </c>
      <c r="K327">
        <v>0</v>
      </c>
      <c r="L327">
        <v>94143.76</v>
      </c>
      <c r="M327">
        <v>1</v>
      </c>
      <c r="O327">
        <f t="shared" si="10"/>
        <v>94143.76</v>
      </c>
      <c r="P327" t="str">
        <f t="shared" si="11"/>
        <v/>
      </c>
      <c r="R327" t="str">
        <f t="array" ref="R327">IFERROR(INDEX($L$2:$L$501,SMALL(IF($M$2:$M$501=1,ROW($M$2:$M$501)-1),ROW()-1)),"")</f>
        <v/>
      </c>
      <c r="S327" t="str" cm="1">
        <f t="array" ref="S327">IFERROR(INDEX($L$2:$L$501,SMALL(IF($M$2:$M$501=0,ROW($M$2:$M$501)-1),ROW()-1)),"")</f>
        <v/>
      </c>
      <c r="U327" t="str" cm="1">
        <f t="array" ref="U327">IFERROR(INDEX($C$2:$C$501,SMALL(IF($D$2:$D$501="France",ROW($D$2:$D$501)-1),ROW()-1)),"")</f>
        <v/>
      </c>
      <c r="V327" t="str" cm="1">
        <f t="array" ref="V327">IFERROR(INDEX($C$2:$C$501,SMALL(IF($D$2:$D$501="Germany",ROW($D$2:$D$501)-1),ROW()-1)),"")</f>
        <v/>
      </c>
      <c r="W327" t="str" cm="1">
        <f t="array" ref="W327">IFERROR(INDEX($C$2:$C$501,SMALL(IF($D$2:$D$501="Spain",ROW($D$2:$D$501)-1),ROW()-1)),"")</f>
        <v/>
      </c>
    </row>
    <row r="328" spans="1:23" x14ac:dyDescent="0.35">
      <c r="A328">
        <v>327</v>
      </c>
      <c r="B328" t="s">
        <v>15</v>
      </c>
      <c r="C328">
        <v>493</v>
      </c>
      <c r="D328" t="s">
        <v>23</v>
      </c>
      <c r="E328" t="s">
        <v>25</v>
      </c>
      <c r="F328">
        <v>29</v>
      </c>
      <c r="G328">
        <v>8</v>
      </c>
      <c r="H328">
        <v>190645.09</v>
      </c>
      <c r="I328">
        <v>1</v>
      </c>
      <c r="J328">
        <v>1</v>
      </c>
      <c r="K328">
        <v>1</v>
      </c>
      <c r="L328">
        <v>46765.52</v>
      </c>
      <c r="M328">
        <v>1</v>
      </c>
      <c r="O328">
        <f t="shared" si="10"/>
        <v>46765.52</v>
      </c>
      <c r="P328" t="str">
        <f t="shared" si="11"/>
        <v/>
      </c>
      <c r="R328" t="str">
        <f t="array" ref="R328">IFERROR(INDEX($L$2:$L$501,SMALL(IF($M$2:$M$501=1,ROW($M$2:$M$501)-1),ROW()-1)),"")</f>
        <v/>
      </c>
      <c r="S328" t="str" cm="1">
        <f t="array" ref="S328">IFERROR(INDEX($L$2:$L$501,SMALL(IF($M$2:$M$501=0,ROW($M$2:$M$501)-1),ROW()-1)),"")</f>
        <v/>
      </c>
      <c r="U328" t="str" cm="1">
        <f t="array" ref="U328">IFERROR(INDEX($C$2:$C$501,SMALL(IF($D$2:$D$501="France",ROW($D$2:$D$501)-1),ROW()-1)),"")</f>
        <v/>
      </c>
      <c r="V328" t="str" cm="1">
        <f t="array" ref="V328">IFERROR(INDEX($C$2:$C$501,SMALL(IF($D$2:$D$501="Germany",ROW($D$2:$D$501)-1),ROW()-1)),"")</f>
        <v/>
      </c>
      <c r="W328" t="str" cm="1">
        <f t="array" ref="W328">IFERROR(INDEX($C$2:$C$501,SMALL(IF($D$2:$D$501="Spain",ROW($D$2:$D$501)-1),ROW()-1)),"")</f>
        <v/>
      </c>
    </row>
    <row r="329" spans="1:23" x14ac:dyDescent="0.35">
      <c r="A329">
        <v>328</v>
      </c>
      <c r="B329" t="s">
        <v>17</v>
      </c>
      <c r="C329">
        <v>797</v>
      </c>
      <c r="D329" t="s">
        <v>23</v>
      </c>
      <c r="E329" t="s">
        <v>26</v>
      </c>
      <c r="F329">
        <v>49</v>
      </c>
      <c r="G329">
        <v>8</v>
      </c>
      <c r="H329">
        <v>230551.53</v>
      </c>
      <c r="I329">
        <v>2</v>
      </c>
      <c r="J329">
        <v>1</v>
      </c>
      <c r="K329">
        <v>1</v>
      </c>
      <c r="L329">
        <v>127716.72</v>
      </c>
      <c r="M329">
        <v>1</v>
      </c>
      <c r="O329">
        <f t="shared" si="10"/>
        <v>127716.72</v>
      </c>
      <c r="P329" t="str">
        <f t="shared" si="11"/>
        <v/>
      </c>
      <c r="R329" t="str">
        <f t="array" ref="R329">IFERROR(INDEX($L$2:$L$501,SMALL(IF($M$2:$M$501=1,ROW($M$2:$M$501)-1),ROW()-1)),"")</f>
        <v/>
      </c>
      <c r="S329" t="str" cm="1">
        <f t="array" ref="S329">IFERROR(INDEX($L$2:$L$501,SMALL(IF($M$2:$M$501=0,ROW($M$2:$M$501)-1),ROW()-1)),"")</f>
        <v/>
      </c>
      <c r="U329" t="str" cm="1">
        <f t="array" ref="U329">IFERROR(INDEX($C$2:$C$501,SMALL(IF($D$2:$D$501="France",ROW($D$2:$D$501)-1),ROW()-1)),"")</f>
        <v/>
      </c>
      <c r="V329" t="str" cm="1">
        <f t="array" ref="V329">IFERROR(INDEX($C$2:$C$501,SMALL(IF($D$2:$D$501="Germany",ROW($D$2:$D$501)-1),ROW()-1)),"")</f>
        <v/>
      </c>
      <c r="W329" t="str" cm="1">
        <f t="array" ref="W329">IFERROR(INDEX($C$2:$C$501,SMALL(IF($D$2:$D$501="Spain",ROW($D$2:$D$501)-1),ROW()-1)),"")</f>
        <v/>
      </c>
    </row>
    <row r="330" spans="1:23" x14ac:dyDescent="0.35">
      <c r="A330">
        <v>329</v>
      </c>
      <c r="B330" t="s">
        <v>15</v>
      </c>
      <c r="C330">
        <v>835</v>
      </c>
      <c r="D330" t="s">
        <v>23</v>
      </c>
      <c r="E330" t="s">
        <v>25</v>
      </c>
      <c r="F330">
        <v>28</v>
      </c>
      <c r="G330">
        <v>4</v>
      </c>
      <c r="H330">
        <v>182346.37</v>
      </c>
      <c r="I330">
        <v>4</v>
      </c>
      <c r="J330">
        <v>1</v>
      </c>
      <c r="K330">
        <v>0</v>
      </c>
      <c r="L330">
        <v>23783.4</v>
      </c>
      <c r="M330">
        <v>0</v>
      </c>
      <c r="O330" t="str">
        <f t="shared" si="10"/>
        <v/>
      </c>
      <c r="P330">
        <f t="shared" si="11"/>
        <v>23783.4</v>
      </c>
      <c r="R330" t="str">
        <f t="array" ref="R330">IFERROR(INDEX($L$2:$L$501,SMALL(IF($M$2:$M$501=1,ROW($M$2:$M$501)-1),ROW()-1)),"")</f>
        <v/>
      </c>
      <c r="S330" t="str" cm="1">
        <f t="array" ref="S330">IFERROR(INDEX($L$2:$L$501,SMALL(IF($M$2:$M$501=0,ROW($M$2:$M$501)-1),ROW()-1)),"")</f>
        <v/>
      </c>
      <c r="U330" t="str" cm="1">
        <f t="array" ref="U330">IFERROR(INDEX($C$2:$C$501,SMALL(IF($D$2:$D$501="France",ROW($D$2:$D$501)-1),ROW()-1)),"")</f>
        <v/>
      </c>
      <c r="V330" t="str" cm="1">
        <f t="array" ref="V330">IFERROR(INDEX($C$2:$C$501,SMALL(IF($D$2:$D$501="Germany",ROW($D$2:$D$501)-1),ROW()-1)),"")</f>
        <v/>
      </c>
      <c r="W330" t="str" cm="1">
        <f t="array" ref="W330">IFERROR(INDEX($C$2:$C$501,SMALL(IF($D$2:$D$501="Spain",ROW($D$2:$D$501)-1),ROW()-1)),"")</f>
        <v/>
      </c>
    </row>
    <row r="331" spans="1:23" x14ac:dyDescent="0.35">
      <c r="A331">
        <v>330</v>
      </c>
      <c r="B331" t="s">
        <v>21</v>
      </c>
      <c r="C331">
        <v>387</v>
      </c>
      <c r="D331" t="s">
        <v>23</v>
      </c>
      <c r="E331" t="s">
        <v>26</v>
      </c>
      <c r="F331">
        <v>38</v>
      </c>
      <c r="G331">
        <v>2</v>
      </c>
      <c r="H331">
        <v>211996.17</v>
      </c>
      <c r="I331">
        <v>2</v>
      </c>
      <c r="J331">
        <v>1</v>
      </c>
      <c r="K331">
        <v>0</v>
      </c>
      <c r="L331">
        <v>45722.09</v>
      </c>
      <c r="M331">
        <v>0</v>
      </c>
      <c r="O331" t="str">
        <f t="shared" si="10"/>
        <v/>
      </c>
      <c r="P331">
        <f t="shared" si="11"/>
        <v>45722.09</v>
      </c>
      <c r="R331" t="str">
        <f t="array" ref="R331">IFERROR(INDEX($L$2:$L$501,SMALL(IF($M$2:$M$501=1,ROW($M$2:$M$501)-1),ROW()-1)),"")</f>
        <v/>
      </c>
      <c r="S331" t="str" cm="1">
        <f t="array" ref="S331">IFERROR(INDEX($L$2:$L$501,SMALL(IF($M$2:$M$501=0,ROW($M$2:$M$501)-1),ROW()-1)),"")</f>
        <v/>
      </c>
      <c r="U331" t="str" cm="1">
        <f t="array" ref="U331">IFERROR(INDEX($C$2:$C$501,SMALL(IF($D$2:$D$501="France",ROW($D$2:$D$501)-1),ROW()-1)),"")</f>
        <v/>
      </c>
      <c r="V331" t="str" cm="1">
        <f t="array" ref="V331">IFERROR(INDEX($C$2:$C$501,SMALL(IF($D$2:$D$501="Germany",ROW($D$2:$D$501)-1),ROW()-1)),"")</f>
        <v/>
      </c>
      <c r="W331" t="str" cm="1">
        <f t="array" ref="W331">IFERROR(INDEX($C$2:$C$501,SMALL(IF($D$2:$D$501="Spain",ROW($D$2:$D$501)-1),ROW()-1)),"")</f>
        <v/>
      </c>
    </row>
    <row r="332" spans="1:23" x14ac:dyDescent="0.35">
      <c r="A332">
        <v>331</v>
      </c>
      <c r="B332" t="s">
        <v>19</v>
      </c>
      <c r="C332">
        <v>409</v>
      </c>
      <c r="D332" t="s">
        <v>22</v>
      </c>
      <c r="E332" t="s">
        <v>25</v>
      </c>
      <c r="F332">
        <v>32</v>
      </c>
      <c r="G332">
        <v>9</v>
      </c>
      <c r="H332">
        <v>100270.85</v>
      </c>
      <c r="I332">
        <v>1</v>
      </c>
      <c r="J332">
        <v>1</v>
      </c>
      <c r="K332">
        <v>1</v>
      </c>
      <c r="L332">
        <v>57238.53</v>
      </c>
      <c r="M332">
        <v>0</v>
      </c>
      <c r="O332" t="str">
        <f t="shared" si="10"/>
        <v/>
      </c>
      <c r="P332">
        <f t="shared" si="11"/>
        <v>57238.53</v>
      </c>
      <c r="R332" t="str">
        <f t="array" ref="R332">IFERROR(INDEX($L$2:$L$501,SMALL(IF($M$2:$M$501=1,ROW($M$2:$M$501)-1),ROW()-1)),"")</f>
        <v/>
      </c>
      <c r="S332" t="str" cm="1">
        <f t="array" ref="S332">IFERROR(INDEX($L$2:$L$501,SMALL(IF($M$2:$M$501=0,ROW($M$2:$M$501)-1),ROW()-1)),"")</f>
        <v/>
      </c>
      <c r="U332" t="str" cm="1">
        <f t="array" ref="U332">IFERROR(INDEX($C$2:$C$501,SMALL(IF($D$2:$D$501="France",ROW($D$2:$D$501)-1),ROW()-1)),"")</f>
        <v/>
      </c>
      <c r="V332" t="str" cm="1">
        <f t="array" ref="V332">IFERROR(INDEX($C$2:$C$501,SMALL(IF($D$2:$D$501="Germany",ROW($D$2:$D$501)-1),ROW()-1)),"")</f>
        <v/>
      </c>
      <c r="W332" t="str" cm="1">
        <f t="array" ref="W332">IFERROR(INDEX($C$2:$C$501,SMALL(IF($D$2:$D$501="Spain",ROW($D$2:$D$501)-1),ROW()-1)),"")</f>
        <v/>
      </c>
    </row>
    <row r="333" spans="1:23" x14ac:dyDescent="0.35">
      <c r="A333">
        <v>332</v>
      </c>
      <c r="B333" t="s">
        <v>12</v>
      </c>
      <c r="C333">
        <v>463</v>
      </c>
      <c r="D333" t="s">
        <v>24</v>
      </c>
      <c r="E333" t="s">
        <v>26</v>
      </c>
      <c r="F333">
        <v>70</v>
      </c>
      <c r="G333">
        <v>8</v>
      </c>
      <c r="H333">
        <v>100036.16</v>
      </c>
      <c r="I333">
        <v>1</v>
      </c>
      <c r="J333">
        <v>0</v>
      </c>
      <c r="K333">
        <v>0</v>
      </c>
      <c r="L333">
        <v>27387.77</v>
      </c>
      <c r="M333">
        <v>1</v>
      </c>
      <c r="O333">
        <f t="shared" si="10"/>
        <v>27387.77</v>
      </c>
      <c r="P333" t="str">
        <f t="shared" si="11"/>
        <v/>
      </c>
      <c r="R333" t="str">
        <f t="array" ref="R333">IFERROR(INDEX($L$2:$L$501,SMALL(IF($M$2:$M$501=1,ROW($M$2:$M$501)-1),ROW()-1)),"")</f>
        <v/>
      </c>
      <c r="S333" t="str" cm="1">
        <f t="array" ref="S333">IFERROR(INDEX($L$2:$L$501,SMALL(IF($M$2:$M$501=0,ROW($M$2:$M$501)-1),ROW()-1)),"")</f>
        <v/>
      </c>
      <c r="U333" t="str" cm="1">
        <f t="array" ref="U333">IFERROR(INDEX($C$2:$C$501,SMALL(IF($D$2:$D$501="France",ROW($D$2:$D$501)-1),ROW()-1)),"")</f>
        <v/>
      </c>
      <c r="V333" t="str" cm="1">
        <f t="array" ref="V333">IFERROR(INDEX($C$2:$C$501,SMALL(IF($D$2:$D$501="Germany",ROW($D$2:$D$501)-1),ROW()-1)),"")</f>
        <v/>
      </c>
      <c r="W333" t="str" cm="1">
        <f t="array" ref="W333">IFERROR(INDEX($C$2:$C$501,SMALL(IF($D$2:$D$501="Spain",ROW($D$2:$D$501)-1),ROW()-1)),"")</f>
        <v/>
      </c>
    </row>
    <row r="334" spans="1:23" x14ac:dyDescent="0.35">
      <c r="A334">
        <v>333</v>
      </c>
      <c r="B334" t="s">
        <v>13</v>
      </c>
      <c r="C334">
        <v>445</v>
      </c>
      <c r="D334" t="s">
        <v>24</v>
      </c>
      <c r="E334" t="s">
        <v>26</v>
      </c>
      <c r="F334">
        <v>89</v>
      </c>
      <c r="G334">
        <v>10</v>
      </c>
      <c r="H334">
        <v>239257.96</v>
      </c>
      <c r="I334">
        <v>4</v>
      </c>
      <c r="J334">
        <v>0</v>
      </c>
      <c r="K334">
        <v>0</v>
      </c>
      <c r="L334">
        <v>75002.11</v>
      </c>
      <c r="M334">
        <v>0</v>
      </c>
      <c r="O334" t="str">
        <f t="shared" si="10"/>
        <v/>
      </c>
      <c r="P334">
        <f t="shared" si="11"/>
        <v>75002.11</v>
      </c>
      <c r="R334" t="str">
        <f t="array" ref="R334">IFERROR(INDEX($L$2:$L$501,SMALL(IF($M$2:$M$501=1,ROW($M$2:$M$501)-1),ROW()-1)),"")</f>
        <v/>
      </c>
      <c r="S334" t="str" cm="1">
        <f t="array" ref="S334">IFERROR(INDEX($L$2:$L$501,SMALL(IF($M$2:$M$501=0,ROW($M$2:$M$501)-1),ROW()-1)),"")</f>
        <v/>
      </c>
      <c r="U334" t="str" cm="1">
        <f t="array" ref="U334">IFERROR(INDEX($C$2:$C$501,SMALL(IF($D$2:$D$501="France",ROW($D$2:$D$501)-1),ROW()-1)),"")</f>
        <v/>
      </c>
      <c r="V334" t="str" cm="1">
        <f t="array" ref="V334">IFERROR(INDEX($C$2:$C$501,SMALL(IF($D$2:$D$501="Germany",ROW($D$2:$D$501)-1),ROW()-1)),"")</f>
        <v/>
      </c>
      <c r="W334" t="str" cm="1">
        <f t="array" ref="W334">IFERROR(INDEX($C$2:$C$501,SMALL(IF($D$2:$D$501="Spain",ROW($D$2:$D$501)-1),ROW()-1)),"")</f>
        <v/>
      </c>
    </row>
    <row r="335" spans="1:23" x14ac:dyDescent="0.35">
      <c r="A335">
        <v>334</v>
      </c>
      <c r="B335" t="s">
        <v>13</v>
      </c>
      <c r="C335">
        <v>702</v>
      </c>
      <c r="D335" t="s">
        <v>23</v>
      </c>
      <c r="E335" t="s">
        <v>26</v>
      </c>
      <c r="F335">
        <v>47</v>
      </c>
      <c r="G335">
        <v>0</v>
      </c>
      <c r="H335">
        <v>189373.41</v>
      </c>
      <c r="I335">
        <v>4</v>
      </c>
      <c r="J335">
        <v>1</v>
      </c>
      <c r="K335">
        <v>1</v>
      </c>
      <c r="L335">
        <v>117202.4</v>
      </c>
      <c r="M335">
        <v>1</v>
      </c>
      <c r="O335">
        <f t="shared" si="10"/>
        <v>117202.4</v>
      </c>
      <c r="P335" t="str">
        <f t="shared" si="11"/>
        <v/>
      </c>
      <c r="R335" t="str">
        <f t="array" ref="R335">IFERROR(INDEX($L$2:$L$501,SMALL(IF($M$2:$M$501=1,ROW($M$2:$M$501)-1),ROW()-1)),"")</f>
        <v/>
      </c>
      <c r="S335" t="str" cm="1">
        <f t="array" ref="S335">IFERROR(INDEX($L$2:$L$501,SMALL(IF($M$2:$M$501=0,ROW($M$2:$M$501)-1),ROW()-1)),"")</f>
        <v/>
      </c>
      <c r="U335" t="str" cm="1">
        <f t="array" ref="U335">IFERROR(INDEX($C$2:$C$501,SMALL(IF($D$2:$D$501="France",ROW($D$2:$D$501)-1),ROW()-1)),"")</f>
        <v/>
      </c>
      <c r="V335" t="str" cm="1">
        <f t="array" ref="V335">IFERROR(INDEX($C$2:$C$501,SMALL(IF($D$2:$D$501="Germany",ROW($D$2:$D$501)-1),ROW()-1)),"")</f>
        <v/>
      </c>
      <c r="W335" t="str" cm="1">
        <f t="array" ref="W335">IFERROR(INDEX($C$2:$C$501,SMALL(IF($D$2:$D$501="Spain",ROW($D$2:$D$501)-1),ROW()-1)),"")</f>
        <v/>
      </c>
    </row>
    <row r="336" spans="1:23" x14ac:dyDescent="0.35">
      <c r="A336">
        <v>335</v>
      </c>
      <c r="B336" t="s">
        <v>14</v>
      </c>
      <c r="C336">
        <v>846</v>
      </c>
      <c r="D336" t="s">
        <v>22</v>
      </c>
      <c r="E336" t="s">
        <v>26</v>
      </c>
      <c r="F336">
        <v>23</v>
      </c>
      <c r="G336">
        <v>3</v>
      </c>
      <c r="H336">
        <v>117828.86</v>
      </c>
      <c r="I336">
        <v>1</v>
      </c>
      <c r="J336">
        <v>0</v>
      </c>
      <c r="K336">
        <v>0</v>
      </c>
      <c r="L336">
        <v>67005.429999999993</v>
      </c>
      <c r="M336">
        <v>1</v>
      </c>
      <c r="O336">
        <f t="shared" si="10"/>
        <v>67005.429999999993</v>
      </c>
      <c r="P336" t="str">
        <f t="shared" si="11"/>
        <v/>
      </c>
      <c r="R336" t="str">
        <f t="array" ref="R336">IFERROR(INDEX($L$2:$L$501,SMALL(IF($M$2:$M$501=1,ROW($M$2:$M$501)-1),ROW()-1)),"")</f>
        <v/>
      </c>
      <c r="S336" t="str" cm="1">
        <f t="array" ref="S336">IFERROR(INDEX($L$2:$L$501,SMALL(IF($M$2:$M$501=0,ROW($M$2:$M$501)-1),ROW()-1)),"")</f>
        <v/>
      </c>
      <c r="U336" t="str" cm="1">
        <f t="array" ref="U336">IFERROR(INDEX($C$2:$C$501,SMALL(IF($D$2:$D$501="France",ROW($D$2:$D$501)-1),ROW()-1)),"")</f>
        <v/>
      </c>
      <c r="V336" t="str" cm="1">
        <f t="array" ref="V336">IFERROR(INDEX($C$2:$C$501,SMALL(IF($D$2:$D$501="Germany",ROW($D$2:$D$501)-1),ROW()-1)),"")</f>
        <v/>
      </c>
      <c r="W336" t="str" cm="1">
        <f t="array" ref="W336">IFERROR(INDEX($C$2:$C$501,SMALL(IF($D$2:$D$501="Spain",ROW($D$2:$D$501)-1),ROW()-1)),"")</f>
        <v/>
      </c>
    </row>
    <row r="337" spans="1:23" x14ac:dyDescent="0.35">
      <c r="A337">
        <v>336</v>
      </c>
      <c r="B337" t="s">
        <v>21</v>
      </c>
      <c r="C337">
        <v>558</v>
      </c>
      <c r="D337" t="s">
        <v>22</v>
      </c>
      <c r="E337" t="s">
        <v>25</v>
      </c>
      <c r="F337">
        <v>32</v>
      </c>
      <c r="G337">
        <v>0</v>
      </c>
      <c r="H337">
        <v>122399.16</v>
      </c>
      <c r="I337">
        <v>1</v>
      </c>
      <c r="J337">
        <v>0</v>
      </c>
      <c r="K337">
        <v>0</v>
      </c>
      <c r="L337">
        <v>107283.07</v>
      </c>
      <c r="M337">
        <v>0</v>
      </c>
      <c r="O337" t="str">
        <f t="shared" si="10"/>
        <v/>
      </c>
      <c r="P337">
        <f t="shared" si="11"/>
        <v>107283.07</v>
      </c>
      <c r="R337" t="str">
        <f t="array" ref="R337">IFERROR(INDEX($L$2:$L$501,SMALL(IF($M$2:$M$501=1,ROW($M$2:$M$501)-1),ROW()-1)),"")</f>
        <v/>
      </c>
      <c r="S337" t="str" cm="1">
        <f t="array" ref="S337">IFERROR(INDEX($L$2:$L$501,SMALL(IF($M$2:$M$501=0,ROW($M$2:$M$501)-1),ROW()-1)),"")</f>
        <v/>
      </c>
      <c r="U337" t="str" cm="1">
        <f t="array" ref="U337">IFERROR(INDEX($C$2:$C$501,SMALL(IF($D$2:$D$501="France",ROW($D$2:$D$501)-1),ROW()-1)),"")</f>
        <v/>
      </c>
      <c r="V337" t="str" cm="1">
        <f t="array" ref="V337">IFERROR(INDEX($C$2:$C$501,SMALL(IF($D$2:$D$501="Germany",ROW($D$2:$D$501)-1),ROW()-1)),"")</f>
        <v/>
      </c>
      <c r="W337" t="str" cm="1">
        <f t="array" ref="W337">IFERROR(INDEX($C$2:$C$501,SMALL(IF($D$2:$D$501="Spain",ROW($D$2:$D$501)-1),ROW()-1)),"")</f>
        <v/>
      </c>
    </row>
    <row r="338" spans="1:23" x14ac:dyDescent="0.35">
      <c r="A338">
        <v>337</v>
      </c>
      <c r="B338" t="s">
        <v>16</v>
      </c>
      <c r="C338">
        <v>638</v>
      </c>
      <c r="D338" t="s">
        <v>23</v>
      </c>
      <c r="E338" t="s">
        <v>26</v>
      </c>
      <c r="F338">
        <v>69</v>
      </c>
      <c r="G338">
        <v>5</v>
      </c>
      <c r="H338">
        <v>4147.6899999999996</v>
      </c>
      <c r="I338">
        <v>2</v>
      </c>
      <c r="J338">
        <v>0</v>
      </c>
      <c r="K338">
        <v>0</v>
      </c>
      <c r="L338">
        <v>37164.6</v>
      </c>
      <c r="M338">
        <v>1</v>
      </c>
      <c r="O338">
        <f t="shared" si="10"/>
        <v>37164.6</v>
      </c>
      <c r="P338" t="str">
        <f t="shared" si="11"/>
        <v/>
      </c>
      <c r="R338" t="str">
        <f t="array" ref="R338">IFERROR(INDEX($L$2:$L$501,SMALL(IF($M$2:$M$501=1,ROW($M$2:$M$501)-1),ROW()-1)),"")</f>
        <v/>
      </c>
      <c r="S338" t="str" cm="1">
        <f t="array" ref="S338">IFERROR(INDEX($L$2:$L$501,SMALL(IF($M$2:$M$501=0,ROW($M$2:$M$501)-1),ROW()-1)),"")</f>
        <v/>
      </c>
      <c r="U338" t="str" cm="1">
        <f t="array" ref="U338">IFERROR(INDEX($C$2:$C$501,SMALL(IF($D$2:$D$501="France",ROW($D$2:$D$501)-1),ROW()-1)),"")</f>
        <v/>
      </c>
      <c r="V338" t="str" cm="1">
        <f t="array" ref="V338">IFERROR(INDEX($C$2:$C$501,SMALL(IF($D$2:$D$501="Germany",ROW($D$2:$D$501)-1),ROW()-1)),"")</f>
        <v/>
      </c>
      <c r="W338" t="str" cm="1">
        <f t="array" ref="W338">IFERROR(INDEX($C$2:$C$501,SMALL(IF($D$2:$D$501="Spain",ROW($D$2:$D$501)-1),ROW()-1)),"")</f>
        <v/>
      </c>
    </row>
    <row r="339" spans="1:23" x14ac:dyDescent="0.35">
      <c r="A339">
        <v>338</v>
      </c>
      <c r="B339" t="s">
        <v>16</v>
      </c>
      <c r="C339">
        <v>412</v>
      </c>
      <c r="D339" t="s">
        <v>23</v>
      </c>
      <c r="E339" t="s">
        <v>25</v>
      </c>
      <c r="F339">
        <v>50</v>
      </c>
      <c r="G339">
        <v>7</v>
      </c>
      <c r="H339">
        <v>57433.4</v>
      </c>
      <c r="I339">
        <v>3</v>
      </c>
      <c r="J339">
        <v>1</v>
      </c>
      <c r="K339">
        <v>0</v>
      </c>
      <c r="L339">
        <v>125784.2</v>
      </c>
      <c r="M339">
        <v>1</v>
      </c>
      <c r="O339">
        <f t="shared" si="10"/>
        <v>125784.2</v>
      </c>
      <c r="P339" t="str">
        <f t="shared" si="11"/>
        <v/>
      </c>
      <c r="R339" t="str">
        <f t="array" ref="R339">IFERROR(INDEX($L$2:$L$501,SMALL(IF($M$2:$M$501=1,ROW($M$2:$M$501)-1),ROW()-1)),"")</f>
        <v/>
      </c>
      <c r="S339" t="str" cm="1">
        <f t="array" ref="S339">IFERROR(INDEX($L$2:$L$501,SMALL(IF($M$2:$M$501=0,ROW($M$2:$M$501)-1),ROW()-1)),"")</f>
        <v/>
      </c>
      <c r="U339" t="str" cm="1">
        <f t="array" ref="U339">IFERROR(INDEX($C$2:$C$501,SMALL(IF($D$2:$D$501="France",ROW($D$2:$D$501)-1),ROW()-1)),"")</f>
        <v/>
      </c>
      <c r="V339" t="str" cm="1">
        <f t="array" ref="V339">IFERROR(INDEX($C$2:$C$501,SMALL(IF($D$2:$D$501="Germany",ROW($D$2:$D$501)-1),ROW()-1)),"")</f>
        <v/>
      </c>
      <c r="W339" t="str" cm="1">
        <f t="array" ref="W339">IFERROR(INDEX($C$2:$C$501,SMALL(IF($D$2:$D$501="Spain",ROW($D$2:$D$501)-1),ROW()-1)),"")</f>
        <v/>
      </c>
    </row>
    <row r="340" spans="1:23" x14ac:dyDescent="0.35">
      <c r="A340">
        <v>339</v>
      </c>
      <c r="B340" t="s">
        <v>19</v>
      </c>
      <c r="C340">
        <v>744</v>
      </c>
      <c r="D340" t="s">
        <v>23</v>
      </c>
      <c r="E340" t="s">
        <v>26</v>
      </c>
      <c r="F340">
        <v>41</v>
      </c>
      <c r="G340">
        <v>7</v>
      </c>
      <c r="H340">
        <v>117825.55</v>
      </c>
      <c r="I340">
        <v>3</v>
      </c>
      <c r="J340">
        <v>0</v>
      </c>
      <c r="K340">
        <v>1</v>
      </c>
      <c r="L340">
        <v>33868.199999999997</v>
      </c>
      <c r="M340">
        <v>1</v>
      </c>
      <c r="O340">
        <f t="shared" si="10"/>
        <v>33868.199999999997</v>
      </c>
      <c r="P340" t="str">
        <f t="shared" si="11"/>
        <v/>
      </c>
      <c r="R340" t="str">
        <f t="array" ref="R340">IFERROR(INDEX($L$2:$L$501,SMALL(IF($M$2:$M$501=1,ROW($M$2:$M$501)-1),ROW()-1)),"")</f>
        <v/>
      </c>
      <c r="S340" t="str" cm="1">
        <f t="array" ref="S340">IFERROR(INDEX($L$2:$L$501,SMALL(IF($M$2:$M$501=0,ROW($M$2:$M$501)-1),ROW()-1)),"")</f>
        <v/>
      </c>
      <c r="U340" t="str" cm="1">
        <f t="array" ref="U340">IFERROR(INDEX($C$2:$C$501,SMALL(IF($D$2:$D$501="France",ROW($D$2:$D$501)-1),ROW()-1)),"")</f>
        <v/>
      </c>
      <c r="V340" t="str" cm="1">
        <f t="array" ref="V340">IFERROR(INDEX($C$2:$C$501,SMALL(IF($D$2:$D$501="Germany",ROW($D$2:$D$501)-1),ROW()-1)),"")</f>
        <v/>
      </c>
      <c r="W340" t="str" cm="1">
        <f t="array" ref="W340">IFERROR(INDEX($C$2:$C$501,SMALL(IF($D$2:$D$501="Spain",ROW($D$2:$D$501)-1),ROW()-1)),"")</f>
        <v/>
      </c>
    </row>
    <row r="341" spans="1:23" x14ac:dyDescent="0.35">
      <c r="A341">
        <v>340</v>
      </c>
      <c r="B341" t="s">
        <v>19</v>
      </c>
      <c r="C341">
        <v>746</v>
      </c>
      <c r="D341" t="s">
        <v>23</v>
      </c>
      <c r="E341" t="s">
        <v>26</v>
      </c>
      <c r="F341">
        <v>24</v>
      </c>
      <c r="G341">
        <v>4</v>
      </c>
      <c r="H341">
        <v>73449.679999999993</v>
      </c>
      <c r="I341">
        <v>4</v>
      </c>
      <c r="J341">
        <v>1</v>
      </c>
      <c r="K341">
        <v>0</v>
      </c>
      <c r="L341">
        <v>108174.82</v>
      </c>
      <c r="M341">
        <v>1</v>
      </c>
      <c r="O341">
        <f t="shared" si="10"/>
        <v>108174.82</v>
      </c>
      <c r="P341" t="str">
        <f t="shared" si="11"/>
        <v/>
      </c>
      <c r="R341" t="str">
        <f t="array" ref="R341">IFERROR(INDEX($L$2:$L$501,SMALL(IF($M$2:$M$501=1,ROW($M$2:$M$501)-1),ROW()-1)),"")</f>
        <v/>
      </c>
      <c r="S341" t="str" cm="1">
        <f t="array" ref="S341">IFERROR(INDEX($L$2:$L$501,SMALL(IF($M$2:$M$501=0,ROW($M$2:$M$501)-1),ROW()-1)),"")</f>
        <v/>
      </c>
      <c r="U341" t="str" cm="1">
        <f t="array" ref="U341">IFERROR(INDEX($C$2:$C$501,SMALL(IF($D$2:$D$501="France",ROW($D$2:$D$501)-1),ROW()-1)),"")</f>
        <v/>
      </c>
      <c r="V341" t="str" cm="1">
        <f t="array" ref="V341">IFERROR(INDEX($C$2:$C$501,SMALL(IF($D$2:$D$501="Germany",ROW($D$2:$D$501)-1),ROW()-1)),"")</f>
        <v/>
      </c>
      <c r="W341" t="str" cm="1">
        <f t="array" ref="W341">IFERROR(INDEX($C$2:$C$501,SMALL(IF($D$2:$D$501="Spain",ROW($D$2:$D$501)-1),ROW()-1)),"")</f>
        <v/>
      </c>
    </row>
    <row r="342" spans="1:23" x14ac:dyDescent="0.35">
      <c r="A342">
        <v>341</v>
      </c>
      <c r="B342" t="s">
        <v>15</v>
      </c>
      <c r="C342">
        <v>443</v>
      </c>
      <c r="D342" t="s">
        <v>22</v>
      </c>
      <c r="E342" t="s">
        <v>25</v>
      </c>
      <c r="F342">
        <v>91</v>
      </c>
      <c r="G342">
        <v>8</v>
      </c>
      <c r="H342">
        <v>245454.02</v>
      </c>
      <c r="I342">
        <v>4</v>
      </c>
      <c r="J342">
        <v>0</v>
      </c>
      <c r="K342">
        <v>0</v>
      </c>
      <c r="L342">
        <v>49422.5</v>
      </c>
      <c r="M342">
        <v>1</v>
      </c>
      <c r="O342">
        <f t="shared" si="10"/>
        <v>49422.5</v>
      </c>
      <c r="P342" t="str">
        <f t="shared" si="11"/>
        <v/>
      </c>
      <c r="R342" t="str">
        <f t="array" ref="R342">IFERROR(INDEX($L$2:$L$501,SMALL(IF($M$2:$M$501=1,ROW($M$2:$M$501)-1),ROW()-1)),"")</f>
        <v/>
      </c>
      <c r="S342" t="str" cm="1">
        <f t="array" ref="S342">IFERROR(INDEX($L$2:$L$501,SMALL(IF($M$2:$M$501=0,ROW($M$2:$M$501)-1),ROW()-1)),"")</f>
        <v/>
      </c>
      <c r="U342" t="str" cm="1">
        <f t="array" ref="U342">IFERROR(INDEX($C$2:$C$501,SMALL(IF($D$2:$D$501="France",ROW($D$2:$D$501)-1),ROW()-1)),"")</f>
        <v/>
      </c>
      <c r="V342" t="str" cm="1">
        <f t="array" ref="V342">IFERROR(INDEX($C$2:$C$501,SMALL(IF($D$2:$D$501="Germany",ROW($D$2:$D$501)-1),ROW()-1)),"")</f>
        <v/>
      </c>
      <c r="W342" t="str" cm="1">
        <f t="array" ref="W342">IFERROR(INDEX($C$2:$C$501,SMALL(IF($D$2:$D$501="Spain",ROW($D$2:$D$501)-1),ROW()-1)),"")</f>
        <v/>
      </c>
    </row>
    <row r="343" spans="1:23" x14ac:dyDescent="0.35">
      <c r="A343">
        <v>342</v>
      </c>
      <c r="B343" t="s">
        <v>20</v>
      </c>
      <c r="C343">
        <v>670</v>
      </c>
      <c r="D343" t="s">
        <v>24</v>
      </c>
      <c r="E343" t="s">
        <v>25</v>
      </c>
      <c r="F343">
        <v>83</v>
      </c>
      <c r="G343">
        <v>2</v>
      </c>
      <c r="H343">
        <v>28880.560000000001</v>
      </c>
      <c r="I343">
        <v>3</v>
      </c>
      <c r="J343">
        <v>1</v>
      </c>
      <c r="K343">
        <v>1</v>
      </c>
      <c r="L343">
        <v>124392.15</v>
      </c>
      <c r="M343">
        <v>0</v>
      </c>
      <c r="O343" t="str">
        <f t="shared" si="10"/>
        <v/>
      </c>
      <c r="P343">
        <f t="shared" si="11"/>
        <v>124392.15</v>
      </c>
      <c r="R343" t="str">
        <f t="array" ref="R343">IFERROR(INDEX($L$2:$L$501,SMALL(IF($M$2:$M$501=1,ROW($M$2:$M$501)-1),ROW()-1)),"")</f>
        <v/>
      </c>
      <c r="S343" t="str" cm="1">
        <f t="array" ref="S343">IFERROR(INDEX($L$2:$L$501,SMALL(IF($M$2:$M$501=0,ROW($M$2:$M$501)-1),ROW()-1)),"")</f>
        <v/>
      </c>
      <c r="U343" t="str" cm="1">
        <f t="array" ref="U343">IFERROR(INDEX($C$2:$C$501,SMALL(IF($D$2:$D$501="France",ROW($D$2:$D$501)-1),ROW()-1)),"")</f>
        <v/>
      </c>
      <c r="V343" t="str" cm="1">
        <f t="array" ref="V343">IFERROR(INDEX($C$2:$C$501,SMALL(IF($D$2:$D$501="Germany",ROW($D$2:$D$501)-1),ROW()-1)),"")</f>
        <v/>
      </c>
      <c r="W343" t="str" cm="1">
        <f t="array" ref="W343">IFERROR(INDEX($C$2:$C$501,SMALL(IF($D$2:$D$501="Spain",ROW($D$2:$D$501)-1),ROW()-1)),"")</f>
        <v/>
      </c>
    </row>
    <row r="344" spans="1:23" x14ac:dyDescent="0.35">
      <c r="A344">
        <v>343</v>
      </c>
      <c r="B344" t="s">
        <v>20</v>
      </c>
      <c r="C344">
        <v>763</v>
      </c>
      <c r="D344" t="s">
        <v>22</v>
      </c>
      <c r="E344" t="s">
        <v>25</v>
      </c>
      <c r="F344">
        <v>88</v>
      </c>
      <c r="G344">
        <v>9</v>
      </c>
      <c r="H344">
        <v>126389.5</v>
      </c>
      <c r="I344">
        <v>1</v>
      </c>
      <c r="J344">
        <v>1</v>
      </c>
      <c r="K344">
        <v>0</v>
      </c>
      <c r="L344">
        <v>145049.72</v>
      </c>
      <c r="M344">
        <v>1</v>
      </c>
      <c r="O344">
        <f t="shared" si="10"/>
        <v>145049.72</v>
      </c>
      <c r="P344" t="str">
        <f t="shared" si="11"/>
        <v/>
      </c>
      <c r="R344" t="str">
        <f t="array" ref="R344">IFERROR(INDEX($L$2:$L$501,SMALL(IF($M$2:$M$501=1,ROW($M$2:$M$501)-1),ROW()-1)),"")</f>
        <v/>
      </c>
      <c r="S344" t="str" cm="1">
        <f t="array" ref="S344">IFERROR(INDEX($L$2:$L$501,SMALL(IF($M$2:$M$501=0,ROW($M$2:$M$501)-1),ROW()-1)),"")</f>
        <v/>
      </c>
      <c r="U344" t="str" cm="1">
        <f t="array" ref="U344">IFERROR(INDEX($C$2:$C$501,SMALL(IF($D$2:$D$501="France",ROW($D$2:$D$501)-1),ROW()-1)),"")</f>
        <v/>
      </c>
      <c r="V344" t="str" cm="1">
        <f t="array" ref="V344">IFERROR(INDEX($C$2:$C$501,SMALL(IF($D$2:$D$501="Germany",ROW($D$2:$D$501)-1),ROW()-1)),"")</f>
        <v/>
      </c>
      <c r="W344" t="str" cm="1">
        <f t="array" ref="W344">IFERROR(INDEX($C$2:$C$501,SMALL(IF($D$2:$D$501="Spain",ROW($D$2:$D$501)-1),ROW()-1)),"")</f>
        <v/>
      </c>
    </row>
    <row r="345" spans="1:23" x14ac:dyDescent="0.35">
      <c r="A345">
        <v>344</v>
      </c>
      <c r="B345" t="s">
        <v>15</v>
      </c>
      <c r="C345">
        <v>696</v>
      </c>
      <c r="D345" t="s">
        <v>24</v>
      </c>
      <c r="E345" t="s">
        <v>26</v>
      </c>
      <c r="F345">
        <v>58</v>
      </c>
      <c r="G345">
        <v>5</v>
      </c>
      <c r="H345">
        <v>2478.15</v>
      </c>
      <c r="I345">
        <v>4</v>
      </c>
      <c r="J345">
        <v>1</v>
      </c>
      <c r="K345">
        <v>1</v>
      </c>
      <c r="L345">
        <v>118783.64</v>
      </c>
      <c r="M345">
        <v>1</v>
      </c>
      <c r="O345">
        <f t="shared" si="10"/>
        <v>118783.64</v>
      </c>
      <c r="P345" t="str">
        <f t="shared" si="11"/>
        <v/>
      </c>
      <c r="R345" t="str">
        <f t="array" ref="R345">IFERROR(INDEX($L$2:$L$501,SMALL(IF($M$2:$M$501=1,ROW($M$2:$M$501)-1),ROW()-1)),"")</f>
        <v/>
      </c>
      <c r="S345" t="str" cm="1">
        <f t="array" ref="S345">IFERROR(INDEX($L$2:$L$501,SMALL(IF($M$2:$M$501=0,ROW($M$2:$M$501)-1),ROW()-1)),"")</f>
        <v/>
      </c>
      <c r="U345" t="str" cm="1">
        <f t="array" ref="U345">IFERROR(INDEX($C$2:$C$501,SMALL(IF($D$2:$D$501="France",ROW($D$2:$D$501)-1),ROW()-1)),"")</f>
        <v/>
      </c>
      <c r="V345" t="str" cm="1">
        <f t="array" ref="V345">IFERROR(INDEX($C$2:$C$501,SMALL(IF($D$2:$D$501="Germany",ROW($D$2:$D$501)-1),ROW()-1)),"")</f>
        <v/>
      </c>
      <c r="W345" t="str" cm="1">
        <f t="array" ref="W345">IFERROR(INDEX($C$2:$C$501,SMALL(IF($D$2:$D$501="Spain",ROW($D$2:$D$501)-1),ROW()-1)),"")</f>
        <v/>
      </c>
    </row>
    <row r="346" spans="1:23" x14ac:dyDescent="0.35">
      <c r="A346">
        <v>345</v>
      </c>
      <c r="B346" t="s">
        <v>13</v>
      </c>
      <c r="C346">
        <v>837</v>
      </c>
      <c r="D346" t="s">
        <v>24</v>
      </c>
      <c r="E346" t="s">
        <v>26</v>
      </c>
      <c r="F346">
        <v>78</v>
      </c>
      <c r="G346">
        <v>1</v>
      </c>
      <c r="H346">
        <v>68129.600000000006</v>
      </c>
      <c r="I346">
        <v>2</v>
      </c>
      <c r="J346">
        <v>0</v>
      </c>
      <c r="K346">
        <v>0</v>
      </c>
      <c r="L346">
        <v>17554.759999999998</v>
      </c>
      <c r="M346">
        <v>1</v>
      </c>
      <c r="O346">
        <f t="shared" si="10"/>
        <v>17554.759999999998</v>
      </c>
      <c r="P346" t="str">
        <f t="shared" si="11"/>
        <v/>
      </c>
      <c r="R346" t="str">
        <f t="array" ref="R346">IFERROR(INDEX($L$2:$L$501,SMALL(IF($M$2:$M$501=1,ROW($M$2:$M$501)-1),ROW()-1)),"")</f>
        <v/>
      </c>
      <c r="S346" t="str" cm="1">
        <f t="array" ref="S346">IFERROR(INDEX($L$2:$L$501,SMALL(IF($M$2:$M$501=0,ROW($M$2:$M$501)-1),ROW()-1)),"")</f>
        <v/>
      </c>
      <c r="U346" t="str" cm="1">
        <f t="array" ref="U346">IFERROR(INDEX($C$2:$C$501,SMALL(IF($D$2:$D$501="France",ROW($D$2:$D$501)-1),ROW()-1)),"")</f>
        <v/>
      </c>
      <c r="V346" t="str" cm="1">
        <f t="array" ref="V346">IFERROR(INDEX($C$2:$C$501,SMALL(IF($D$2:$D$501="Germany",ROW($D$2:$D$501)-1),ROW()-1)),"")</f>
        <v/>
      </c>
      <c r="W346" t="str" cm="1">
        <f t="array" ref="W346">IFERROR(INDEX($C$2:$C$501,SMALL(IF($D$2:$D$501="Spain",ROW($D$2:$D$501)-1),ROW()-1)),"")</f>
        <v/>
      </c>
    </row>
    <row r="347" spans="1:23" x14ac:dyDescent="0.35">
      <c r="A347">
        <v>346</v>
      </c>
      <c r="B347" t="s">
        <v>20</v>
      </c>
      <c r="C347">
        <v>500</v>
      </c>
      <c r="D347" t="s">
        <v>24</v>
      </c>
      <c r="E347" t="s">
        <v>25</v>
      </c>
      <c r="F347">
        <v>54</v>
      </c>
      <c r="G347">
        <v>7</v>
      </c>
      <c r="H347">
        <v>56107.72</v>
      </c>
      <c r="I347">
        <v>3</v>
      </c>
      <c r="J347">
        <v>1</v>
      </c>
      <c r="K347">
        <v>0</v>
      </c>
      <c r="L347">
        <v>15514.32</v>
      </c>
      <c r="M347">
        <v>0</v>
      </c>
      <c r="O347" t="str">
        <f t="shared" si="10"/>
        <v/>
      </c>
      <c r="P347">
        <f t="shared" si="11"/>
        <v>15514.32</v>
      </c>
      <c r="R347" t="str">
        <f t="array" ref="R347">IFERROR(INDEX($L$2:$L$501,SMALL(IF($M$2:$M$501=1,ROW($M$2:$M$501)-1),ROW()-1)),"")</f>
        <v/>
      </c>
      <c r="S347" t="str" cm="1">
        <f t="array" ref="S347">IFERROR(INDEX($L$2:$L$501,SMALL(IF($M$2:$M$501=0,ROW($M$2:$M$501)-1),ROW()-1)),"")</f>
        <v/>
      </c>
      <c r="U347" t="str" cm="1">
        <f t="array" ref="U347">IFERROR(INDEX($C$2:$C$501,SMALL(IF($D$2:$D$501="France",ROW($D$2:$D$501)-1),ROW()-1)),"")</f>
        <v/>
      </c>
      <c r="V347" t="str" cm="1">
        <f t="array" ref="V347">IFERROR(INDEX($C$2:$C$501,SMALL(IF($D$2:$D$501="Germany",ROW($D$2:$D$501)-1),ROW()-1)),"")</f>
        <v/>
      </c>
      <c r="W347" t="str" cm="1">
        <f t="array" ref="W347">IFERROR(INDEX($C$2:$C$501,SMALL(IF($D$2:$D$501="Spain",ROW($D$2:$D$501)-1),ROW()-1)),"")</f>
        <v/>
      </c>
    </row>
    <row r="348" spans="1:23" x14ac:dyDescent="0.35">
      <c r="A348">
        <v>347</v>
      </c>
      <c r="B348" t="s">
        <v>19</v>
      </c>
      <c r="C348">
        <v>753</v>
      </c>
      <c r="D348" t="s">
        <v>22</v>
      </c>
      <c r="E348" t="s">
        <v>26</v>
      </c>
      <c r="F348">
        <v>30</v>
      </c>
      <c r="G348">
        <v>7</v>
      </c>
      <c r="H348">
        <v>151272.32999999999</v>
      </c>
      <c r="I348">
        <v>2</v>
      </c>
      <c r="J348">
        <v>0</v>
      </c>
      <c r="K348">
        <v>0</v>
      </c>
      <c r="L348">
        <v>12942.16</v>
      </c>
      <c r="M348">
        <v>0</v>
      </c>
      <c r="O348" t="str">
        <f t="shared" si="10"/>
        <v/>
      </c>
      <c r="P348">
        <f t="shared" si="11"/>
        <v>12942.16</v>
      </c>
      <c r="R348" t="str">
        <f t="array" ref="R348">IFERROR(INDEX($L$2:$L$501,SMALL(IF($M$2:$M$501=1,ROW($M$2:$M$501)-1),ROW()-1)),"")</f>
        <v/>
      </c>
      <c r="S348" t="str" cm="1">
        <f t="array" ref="S348">IFERROR(INDEX($L$2:$L$501,SMALL(IF($M$2:$M$501=0,ROW($M$2:$M$501)-1),ROW()-1)),"")</f>
        <v/>
      </c>
      <c r="U348" t="str" cm="1">
        <f t="array" ref="U348">IFERROR(INDEX($C$2:$C$501,SMALL(IF($D$2:$D$501="France",ROW($D$2:$D$501)-1),ROW()-1)),"")</f>
        <v/>
      </c>
      <c r="V348" t="str" cm="1">
        <f t="array" ref="V348">IFERROR(INDEX($C$2:$C$501,SMALL(IF($D$2:$D$501="Germany",ROW($D$2:$D$501)-1),ROW()-1)),"")</f>
        <v/>
      </c>
      <c r="W348" t="str" cm="1">
        <f t="array" ref="W348">IFERROR(INDEX($C$2:$C$501,SMALL(IF($D$2:$D$501="Spain",ROW($D$2:$D$501)-1),ROW()-1)),"")</f>
        <v/>
      </c>
    </row>
    <row r="349" spans="1:23" x14ac:dyDescent="0.35">
      <c r="A349">
        <v>348</v>
      </c>
      <c r="B349" t="s">
        <v>20</v>
      </c>
      <c r="C349">
        <v>739</v>
      </c>
      <c r="D349" t="s">
        <v>23</v>
      </c>
      <c r="E349" t="s">
        <v>26</v>
      </c>
      <c r="F349">
        <v>53</v>
      </c>
      <c r="G349">
        <v>1</v>
      </c>
      <c r="H349">
        <v>221804.74</v>
      </c>
      <c r="I349">
        <v>2</v>
      </c>
      <c r="J349">
        <v>0</v>
      </c>
      <c r="K349">
        <v>1</v>
      </c>
      <c r="L349">
        <v>140925.68</v>
      </c>
      <c r="M349">
        <v>0</v>
      </c>
      <c r="O349" t="str">
        <f t="shared" si="10"/>
        <v/>
      </c>
      <c r="P349">
        <f t="shared" si="11"/>
        <v>140925.68</v>
      </c>
      <c r="R349" t="str">
        <f t="array" ref="R349">IFERROR(INDEX($L$2:$L$501,SMALL(IF($M$2:$M$501=1,ROW($M$2:$M$501)-1),ROW()-1)),"")</f>
        <v/>
      </c>
      <c r="S349" t="str" cm="1">
        <f t="array" ref="S349">IFERROR(INDEX($L$2:$L$501,SMALL(IF($M$2:$M$501=0,ROW($M$2:$M$501)-1),ROW()-1)),"")</f>
        <v/>
      </c>
      <c r="U349" t="str" cm="1">
        <f t="array" ref="U349">IFERROR(INDEX($C$2:$C$501,SMALL(IF($D$2:$D$501="France",ROW($D$2:$D$501)-1),ROW()-1)),"")</f>
        <v/>
      </c>
      <c r="V349" t="str" cm="1">
        <f t="array" ref="V349">IFERROR(INDEX($C$2:$C$501,SMALL(IF($D$2:$D$501="Germany",ROW($D$2:$D$501)-1),ROW()-1)),"")</f>
        <v/>
      </c>
      <c r="W349" t="str" cm="1">
        <f t="array" ref="W349">IFERROR(INDEX($C$2:$C$501,SMALL(IF($D$2:$D$501="Spain",ROW($D$2:$D$501)-1),ROW()-1)),"")</f>
        <v/>
      </c>
    </row>
    <row r="350" spans="1:23" x14ac:dyDescent="0.35">
      <c r="A350">
        <v>349</v>
      </c>
      <c r="B350" t="s">
        <v>16</v>
      </c>
      <c r="C350">
        <v>642</v>
      </c>
      <c r="D350" t="s">
        <v>23</v>
      </c>
      <c r="E350" t="s">
        <v>25</v>
      </c>
      <c r="F350">
        <v>80</v>
      </c>
      <c r="G350">
        <v>5</v>
      </c>
      <c r="H350">
        <v>141610.87</v>
      </c>
      <c r="I350">
        <v>1</v>
      </c>
      <c r="J350">
        <v>1</v>
      </c>
      <c r="K350">
        <v>0</v>
      </c>
      <c r="L350">
        <v>35048.160000000003</v>
      </c>
      <c r="M350">
        <v>0</v>
      </c>
      <c r="O350" t="str">
        <f t="shared" si="10"/>
        <v/>
      </c>
      <c r="P350">
        <f t="shared" si="11"/>
        <v>35048.160000000003</v>
      </c>
      <c r="R350" t="str">
        <f t="array" ref="R350">IFERROR(INDEX($L$2:$L$501,SMALL(IF($M$2:$M$501=1,ROW($M$2:$M$501)-1),ROW()-1)),"")</f>
        <v/>
      </c>
      <c r="S350" t="str" cm="1">
        <f t="array" ref="S350">IFERROR(INDEX($L$2:$L$501,SMALL(IF($M$2:$M$501=0,ROW($M$2:$M$501)-1),ROW()-1)),"")</f>
        <v/>
      </c>
      <c r="U350" t="str" cm="1">
        <f t="array" ref="U350">IFERROR(INDEX($C$2:$C$501,SMALL(IF($D$2:$D$501="France",ROW($D$2:$D$501)-1),ROW()-1)),"")</f>
        <v/>
      </c>
      <c r="V350" t="str" cm="1">
        <f t="array" ref="V350">IFERROR(INDEX($C$2:$C$501,SMALL(IF($D$2:$D$501="Germany",ROW($D$2:$D$501)-1),ROW()-1)),"")</f>
        <v/>
      </c>
      <c r="W350" t="str" cm="1">
        <f t="array" ref="W350">IFERROR(INDEX($C$2:$C$501,SMALL(IF($D$2:$D$501="Spain",ROW($D$2:$D$501)-1),ROW()-1)),"")</f>
        <v/>
      </c>
    </row>
    <row r="351" spans="1:23" x14ac:dyDescent="0.35">
      <c r="A351">
        <v>350</v>
      </c>
      <c r="B351" t="s">
        <v>20</v>
      </c>
      <c r="C351">
        <v>433</v>
      </c>
      <c r="D351" t="s">
        <v>22</v>
      </c>
      <c r="E351" t="s">
        <v>25</v>
      </c>
      <c r="F351">
        <v>87</v>
      </c>
      <c r="G351">
        <v>0</v>
      </c>
      <c r="H351">
        <v>161025.64000000001</v>
      </c>
      <c r="I351">
        <v>4</v>
      </c>
      <c r="J351">
        <v>1</v>
      </c>
      <c r="K351">
        <v>1</v>
      </c>
      <c r="L351">
        <v>129607.96</v>
      </c>
      <c r="M351">
        <v>0</v>
      </c>
      <c r="O351" t="str">
        <f t="shared" si="10"/>
        <v/>
      </c>
      <c r="P351">
        <f t="shared" si="11"/>
        <v>129607.96</v>
      </c>
      <c r="R351" t="str">
        <f t="array" ref="R351">IFERROR(INDEX($L$2:$L$501,SMALL(IF($M$2:$M$501=1,ROW($M$2:$M$501)-1),ROW()-1)),"")</f>
        <v/>
      </c>
      <c r="S351" t="str" cm="1">
        <f t="array" ref="S351">IFERROR(INDEX($L$2:$L$501,SMALL(IF($M$2:$M$501=0,ROW($M$2:$M$501)-1),ROW()-1)),"")</f>
        <v/>
      </c>
      <c r="U351" t="str" cm="1">
        <f t="array" ref="U351">IFERROR(INDEX($C$2:$C$501,SMALL(IF($D$2:$D$501="France",ROW($D$2:$D$501)-1),ROW()-1)),"")</f>
        <v/>
      </c>
      <c r="V351" t="str" cm="1">
        <f t="array" ref="V351">IFERROR(INDEX($C$2:$C$501,SMALL(IF($D$2:$D$501="Germany",ROW($D$2:$D$501)-1),ROW()-1)),"")</f>
        <v/>
      </c>
      <c r="W351" t="str" cm="1">
        <f t="array" ref="W351">IFERROR(INDEX($C$2:$C$501,SMALL(IF($D$2:$D$501="Spain",ROW($D$2:$D$501)-1),ROW()-1)),"")</f>
        <v/>
      </c>
    </row>
    <row r="352" spans="1:23" x14ac:dyDescent="0.35">
      <c r="A352">
        <v>351</v>
      </c>
      <c r="B352" t="s">
        <v>14</v>
      </c>
      <c r="C352">
        <v>477</v>
      </c>
      <c r="D352" t="s">
        <v>22</v>
      </c>
      <c r="E352" t="s">
        <v>25</v>
      </c>
      <c r="F352">
        <v>80</v>
      </c>
      <c r="G352">
        <v>7</v>
      </c>
      <c r="H352">
        <v>69980.850000000006</v>
      </c>
      <c r="I352">
        <v>4</v>
      </c>
      <c r="J352">
        <v>1</v>
      </c>
      <c r="K352">
        <v>0</v>
      </c>
      <c r="L352">
        <v>112678.04</v>
      </c>
      <c r="M352">
        <v>0</v>
      </c>
      <c r="O352" t="str">
        <f t="shared" si="10"/>
        <v/>
      </c>
      <c r="P352">
        <f t="shared" si="11"/>
        <v>112678.04</v>
      </c>
      <c r="R352" t="str">
        <f t="array" ref="R352">IFERROR(INDEX($L$2:$L$501,SMALL(IF($M$2:$M$501=1,ROW($M$2:$M$501)-1),ROW()-1)),"")</f>
        <v/>
      </c>
      <c r="S352" t="str" cm="1">
        <f t="array" ref="S352">IFERROR(INDEX($L$2:$L$501,SMALL(IF($M$2:$M$501=0,ROW($M$2:$M$501)-1),ROW()-1)),"")</f>
        <v/>
      </c>
      <c r="U352" t="str" cm="1">
        <f t="array" ref="U352">IFERROR(INDEX($C$2:$C$501,SMALL(IF($D$2:$D$501="France",ROW($D$2:$D$501)-1),ROW()-1)),"")</f>
        <v/>
      </c>
      <c r="V352" t="str" cm="1">
        <f t="array" ref="V352">IFERROR(INDEX($C$2:$C$501,SMALL(IF($D$2:$D$501="Germany",ROW($D$2:$D$501)-1),ROW()-1)),"")</f>
        <v/>
      </c>
      <c r="W352" t="str" cm="1">
        <f t="array" ref="W352">IFERROR(INDEX($C$2:$C$501,SMALL(IF($D$2:$D$501="Spain",ROW($D$2:$D$501)-1),ROW()-1)),"")</f>
        <v/>
      </c>
    </row>
    <row r="353" spans="1:23" x14ac:dyDescent="0.35">
      <c r="A353">
        <v>352</v>
      </c>
      <c r="B353" t="s">
        <v>19</v>
      </c>
      <c r="C353">
        <v>834</v>
      </c>
      <c r="D353" t="s">
        <v>24</v>
      </c>
      <c r="E353" t="s">
        <v>25</v>
      </c>
      <c r="F353">
        <v>76</v>
      </c>
      <c r="G353">
        <v>8</v>
      </c>
      <c r="H353">
        <v>77216.62</v>
      </c>
      <c r="I353">
        <v>4</v>
      </c>
      <c r="J353">
        <v>0</v>
      </c>
      <c r="K353">
        <v>0</v>
      </c>
      <c r="L353">
        <v>104636.55</v>
      </c>
      <c r="M353">
        <v>1</v>
      </c>
      <c r="O353">
        <f t="shared" si="10"/>
        <v>104636.55</v>
      </c>
      <c r="P353" t="str">
        <f t="shared" si="11"/>
        <v/>
      </c>
      <c r="R353" t="str">
        <f t="array" ref="R353">IFERROR(INDEX($L$2:$L$501,SMALL(IF($M$2:$M$501=1,ROW($M$2:$M$501)-1),ROW()-1)),"")</f>
        <v/>
      </c>
      <c r="S353" t="str" cm="1">
        <f t="array" ref="S353">IFERROR(INDEX($L$2:$L$501,SMALL(IF($M$2:$M$501=0,ROW($M$2:$M$501)-1),ROW()-1)),"")</f>
        <v/>
      </c>
      <c r="U353" t="str" cm="1">
        <f t="array" ref="U353">IFERROR(INDEX($C$2:$C$501,SMALL(IF($D$2:$D$501="France",ROW($D$2:$D$501)-1),ROW()-1)),"")</f>
        <v/>
      </c>
      <c r="V353" t="str" cm="1">
        <f t="array" ref="V353">IFERROR(INDEX($C$2:$C$501,SMALL(IF($D$2:$D$501="Germany",ROW($D$2:$D$501)-1),ROW()-1)),"")</f>
        <v/>
      </c>
      <c r="W353" t="str" cm="1">
        <f t="array" ref="W353">IFERROR(INDEX($C$2:$C$501,SMALL(IF($D$2:$D$501="Spain",ROW($D$2:$D$501)-1),ROW()-1)),"")</f>
        <v/>
      </c>
    </row>
    <row r="354" spans="1:23" x14ac:dyDescent="0.35">
      <c r="A354">
        <v>353</v>
      </c>
      <c r="B354" t="s">
        <v>21</v>
      </c>
      <c r="C354">
        <v>611</v>
      </c>
      <c r="D354" t="s">
        <v>22</v>
      </c>
      <c r="E354" t="s">
        <v>26</v>
      </c>
      <c r="F354">
        <v>36</v>
      </c>
      <c r="G354">
        <v>4</v>
      </c>
      <c r="H354">
        <v>124751.31</v>
      </c>
      <c r="I354">
        <v>1</v>
      </c>
      <c r="J354">
        <v>0</v>
      </c>
      <c r="K354">
        <v>0</v>
      </c>
      <c r="L354">
        <v>16581.23</v>
      </c>
      <c r="M354">
        <v>1</v>
      </c>
      <c r="O354">
        <f t="shared" si="10"/>
        <v>16581.23</v>
      </c>
      <c r="P354" t="str">
        <f t="shared" si="11"/>
        <v/>
      </c>
      <c r="R354" t="str">
        <f t="array" ref="R354">IFERROR(INDEX($L$2:$L$501,SMALL(IF($M$2:$M$501=1,ROW($M$2:$M$501)-1),ROW()-1)),"")</f>
        <v/>
      </c>
      <c r="S354" t="str" cm="1">
        <f t="array" ref="S354">IFERROR(INDEX($L$2:$L$501,SMALL(IF($M$2:$M$501=0,ROW($M$2:$M$501)-1),ROW()-1)),"")</f>
        <v/>
      </c>
      <c r="U354" t="str" cm="1">
        <f t="array" ref="U354">IFERROR(INDEX($C$2:$C$501,SMALL(IF($D$2:$D$501="France",ROW($D$2:$D$501)-1),ROW()-1)),"")</f>
        <v/>
      </c>
      <c r="V354" t="str" cm="1">
        <f t="array" ref="V354">IFERROR(INDEX($C$2:$C$501,SMALL(IF($D$2:$D$501="Germany",ROW($D$2:$D$501)-1),ROW()-1)),"")</f>
        <v/>
      </c>
      <c r="W354" t="str" cm="1">
        <f t="array" ref="W354">IFERROR(INDEX($C$2:$C$501,SMALL(IF($D$2:$D$501="Spain",ROW($D$2:$D$501)-1),ROW()-1)),"")</f>
        <v/>
      </c>
    </row>
    <row r="355" spans="1:23" x14ac:dyDescent="0.35">
      <c r="A355">
        <v>354</v>
      </c>
      <c r="B355" t="s">
        <v>15</v>
      </c>
      <c r="C355">
        <v>698</v>
      </c>
      <c r="D355" t="s">
        <v>24</v>
      </c>
      <c r="E355" t="s">
        <v>26</v>
      </c>
      <c r="F355">
        <v>18</v>
      </c>
      <c r="G355">
        <v>5</v>
      </c>
      <c r="H355">
        <v>142139.92000000001</v>
      </c>
      <c r="I355">
        <v>2</v>
      </c>
      <c r="J355">
        <v>0</v>
      </c>
      <c r="K355">
        <v>1</v>
      </c>
      <c r="L355">
        <v>89777.41</v>
      </c>
      <c r="M355">
        <v>0</v>
      </c>
      <c r="O355" t="str">
        <f t="shared" si="10"/>
        <v/>
      </c>
      <c r="P355">
        <f t="shared" si="11"/>
        <v>89777.41</v>
      </c>
      <c r="R355" t="str">
        <f t="array" ref="R355">IFERROR(INDEX($L$2:$L$501,SMALL(IF($M$2:$M$501=1,ROW($M$2:$M$501)-1),ROW()-1)),"")</f>
        <v/>
      </c>
      <c r="S355" t="str" cm="1">
        <f t="array" ref="S355">IFERROR(INDEX($L$2:$L$501,SMALL(IF($M$2:$M$501=0,ROW($M$2:$M$501)-1),ROW()-1)),"")</f>
        <v/>
      </c>
      <c r="U355" t="str" cm="1">
        <f t="array" ref="U355">IFERROR(INDEX($C$2:$C$501,SMALL(IF($D$2:$D$501="France",ROW($D$2:$D$501)-1),ROW()-1)),"")</f>
        <v/>
      </c>
      <c r="V355" t="str" cm="1">
        <f t="array" ref="V355">IFERROR(INDEX($C$2:$C$501,SMALL(IF($D$2:$D$501="Germany",ROW($D$2:$D$501)-1),ROW()-1)),"")</f>
        <v/>
      </c>
      <c r="W355" t="str" cm="1">
        <f t="array" ref="W355">IFERROR(INDEX($C$2:$C$501,SMALL(IF($D$2:$D$501="Spain",ROW($D$2:$D$501)-1),ROW()-1)),"")</f>
        <v/>
      </c>
    </row>
    <row r="356" spans="1:23" x14ac:dyDescent="0.35">
      <c r="A356">
        <v>355</v>
      </c>
      <c r="B356" t="s">
        <v>18</v>
      </c>
      <c r="C356">
        <v>810</v>
      </c>
      <c r="D356" t="s">
        <v>22</v>
      </c>
      <c r="E356" t="s">
        <v>25</v>
      </c>
      <c r="F356">
        <v>19</v>
      </c>
      <c r="G356">
        <v>2</v>
      </c>
      <c r="H356">
        <v>136582.23000000001</v>
      </c>
      <c r="I356">
        <v>2</v>
      </c>
      <c r="J356">
        <v>1</v>
      </c>
      <c r="K356">
        <v>0</v>
      </c>
      <c r="L356">
        <v>146255.76999999999</v>
      </c>
      <c r="M356">
        <v>1</v>
      </c>
      <c r="O356">
        <f t="shared" si="10"/>
        <v>146255.76999999999</v>
      </c>
      <c r="P356" t="str">
        <f t="shared" si="11"/>
        <v/>
      </c>
      <c r="R356" t="str">
        <f t="array" ref="R356">IFERROR(INDEX($L$2:$L$501,SMALL(IF($M$2:$M$501=1,ROW($M$2:$M$501)-1),ROW()-1)),"")</f>
        <v/>
      </c>
      <c r="S356" t="str" cm="1">
        <f t="array" ref="S356">IFERROR(INDEX($L$2:$L$501,SMALL(IF($M$2:$M$501=0,ROW($M$2:$M$501)-1),ROW()-1)),"")</f>
        <v/>
      </c>
      <c r="U356" t="str" cm="1">
        <f t="array" ref="U356">IFERROR(INDEX($C$2:$C$501,SMALL(IF($D$2:$D$501="France",ROW($D$2:$D$501)-1),ROW()-1)),"")</f>
        <v/>
      </c>
      <c r="V356" t="str" cm="1">
        <f t="array" ref="V356">IFERROR(INDEX($C$2:$C$501,SMALL(IF($D$2:$D$501="Germany",ROW($D$2:$D$501)-1),ROW()-1)),"")</f>
        <v/>
      </c>
      <c r="W356" t="str" cm="1">
        <f t="array" ref="W356">IFERROR(INDEX($C$2:$C$501,SMALL(IF($D$2:$D$501="Spain",ROW($D$2:$D$501)-1),ROW()-1)),"")</f>
        <v/>
      </c>
    </row>
    <row r="357" spans="1:23" x14ac:dyDescent="0.35">
      <c r="A357">
        <v>356</v>
      </c>
      <c r="B357" t="s">
        <v>16</v>
      </c>
      <c r="C357">
        <v>504</v>
      </c>
      <c r="D357" t="s">
        <v>23</v>
      </c>
      <c r="E357" t="s">
        <v>26</v>
      </c>
      <c r="F357">
        <v>39</v>
      </c>
      <c r="G357">
        <v>0</v>
      </c>
      <c r="H357">
        <v>65011.59</v>
      </c>
      <c r="I357">
        <v>2</v>
      </c>
      <c r="J357">
        <v>1</v>
      </c>
      <c r="K357">
        <v>1</v>
      </c>
      <c r="L357">
        <v>100509.25</v>
      </c>
      <c r="M357">
        <v>1</v>
      </c>
      <c r="O357">
        <f t="shared" si="10"/>
        <v>100509.25</v>
      </c>
      <c r="P357" t="str">
        <f t="shared" si="11"/>
        <v/>
      </c>
      <c r="R357" t="str">
        <f t="array" ref="R357">IFERROR(INDEX($L$2:$L$501,SMALL(IF($M$2:$M$501=1,ROW($M$2:$M$501)-1),ROW()-1)),"")</f>
        <v/>
      </c>
      <c r="S357" t="str" cm="1">
        <f t="array" ref="S357">IFERROR(INDEX($L$2:$L$501,SMALL(IF($M$2:$M$501=0,ROW($M$2:$M$501)-1),ROW()-1)),"")</f>
        <v/>
      </c>
      <c r="U357" t="str" cm="1">
        <f t="array" ref="U357">IFERROR(INDEX($C$2:$C$501,SMALL(IF($D$2:$D$501="France",ROW($D$2:$D$501)-1),ROW()-1)),"")</f>
        <v/>
      </c>
      <c r="V357" t="str" cm="1">
        <f t="array" ref="V357">IFERROR(INDEX($C$2:$C$501,SMALL(IF($D$2:$D$501="Germany",ROW($D$2:$D$501)-1),ROW()-1)),"")</f>
        <v/>
      </c>
      <c r="W357" t="str" cm="1">
        <f t="array" ref="W357">IFERROR(INDEX($C$2:$C$501,SMALL(IF($D$2:$D$501="Spain",ROW($D$2:$D$501)-1),ROW()-1)),"")</f>
        <v/>
      </c>
    </row>
    <row r="358" spans="1:23" x14ac:dyDescent="0.35">
      <c r="A358">
        <v>357</v>
      </c>
      <c r="B358" t="s">
        <v>17</v>
      </c>
      <c r="C358">
        <v>591</v>
      </c>
      <c r="D358" t="s">
        <v>23</v>
      </c>
      <c r="E358" t="s">
        <v>26</v>
      </c>
      <c r="F358">
        <v>31</v>
      </c>
      <c r="G358">
        <v>8</v>
      </c>
      <c r="H358">
        <v>36493.35</v>
      </c>
      <c r="I358">
        <v>2</v>
      </c>
      <c r="J358">
        <v>1</v>
      </c>
      <c r="K358">
        <v>0</v>
      </c>
      <c r="L358">
        <v>50480.54</v>
      </c>
      <c r="M358">
        <v>1</v>
      </c>
      <c r="O358">
        <f t="shared" si="10"/>
        <v>50480.54</v>
      </c>
      <c r="P358" t="str">
        <f t="shared" si="11"/>
        <v/>
      </c>
      <c r="R358" t="str">
        <f t="array" ref="R358">IFERROR(INDEX($L$2:$L$501,SMALL(IF($M$2:$M$501=1,ROW($M$2:$M$501)-1),ROW()-1)),"")</f>
        <v/>
      </c>
      <c r="S358" t="str" cm="1">
        <f t="array" ref="S358">IFERROR(INDEX($L$2:$L$501,SMALL(IF($M$2:$M$501=0,ROW($M$2:$M$501)-1),ROW()-1)),"")</f>
        <v/>
      </c>
      <c r="U358" t="str" cm="1">
        <f t="array" ref="U358">IFERROR(INDEX($C$2:$C$501,SMALL(IF($D$2:$D$501="France",ROW($D$2:$D$501)-1),ROW()-1)),"")</f>
        <v/>
      </c>
      <c r="V358" t="str" cm="1">
        <f t="array" ref="V358">IFERROR(INDEX($C$2:$C$501,SMALL(IF($D$2:$D$501="Germany",ROW($D$2:$D$501)-1),ROW()-1)),"")</f>
        <v/>
      </c>
      <c r="W358" t="str" cm="1">
        <f t="array" ref="W358">IFERROR(INDEX($C$2:$C$501,SMALL(IF($D$2:$D$501="Spain",ROW($D$2:$D$501)-1),ROW()-1)),"")</f>
        <v/>
      </c>
    </row>
    <row r="359" spans="1:23" x14ac:dyDescent="0.35">
      <c r="A359">
        <v>358</v>
      </c>
      <c r="B359" t="s">
        <v>13</v>
      </c>
      <c r="C359">
        <v>433</v>
      </c>
      <c r="D359" t="s">
        <v>23</v>
      </c>
      <c r="E359" t="s">
        <v>26</v>
      </c>
      <c r="F359">
        <v>85</v>
      </c>
      <c r="G359">
        <v>6</v>
      </c>
      <c r="H359">
        <v>92093.09</v>
      </c>
      <c r="I359">
        <v>4</v>
      </c>
      <c r="J359">
        <v>0</v>
      </c>
      <c r="K359">
        <v>1</v>
      </c>
      <c r="L359">
        <v>117465.12</v>
      </c>
      <c r="M359">
        <v>1</v>
      </c>
      <c r="O359">
        <f t="shared" si="10"/>
        <v>117465.12</v>
      </c>
      <c r="P359" t="str">
        <f t="shared" si="11"/>
        <v/>
      </c>
      <c r="R359" t="str">
        <f t="array" ref="R359">IFERROR(INDEX($L$2:$L$501,SMALL(IF($M$2:$M$501=1,ROW($M$2:$M$501)-1),ROW()-1)),"")</f>
        <v/>
      </c>
      <c r="S359" t="str" cm="1">
        <f t="array" ref="S359">IFERROR(INDEX($L$2:$L$501,SMALL(IF($M$2:$M$501=0,ROW($M$2:$M$501)-1),ROW()-1)),"")</f>
        <v/>
      </c>
      <c r="U359" t="str" cm="1">
        <f t="array" ref="U359">IFERROR(INDEX($C$2:$C$501,SMALL(IF($D$2:$D$501="France",ROW($D$2:$D$501)-1),ROW()-1)),"")</f>
        <v/>
      </c>
      <c r="V359" t="str" cm="1">
        <f t="array" ref="V359">IFERROR(INDEX($C$2:$C$501,SMALL(IF($D$2:$D$501="Germany",ROW($D$2:$D$501)-1),ROW()-1)),"")</f>
        <v/>
      </c>
      <c r="W359" t="str" cm="1">
        <f t="array" ref="W359">IFERROR(INDEX($C$2:$C$501,SMALL(IF($D$2:$D$501="Spain",ROW($D$2:$D$501)-1),ROW()-1)),"")</f>
        <v/>
      </c>
    </row>
    <row r="360" spans="1:23" x14ac:dyDescent="0.35">
      <c r="A360">
        <v>359</v>
      </c>
      <c r="B360" t="s">
        <v>20</v>
      </c>
      <c r="C360">
        <v>746</v>
      </c>
      <c r="D360" t="s">
        <v>22</v>
      </c>
      <c r="E360" t="s">
        <v>26</v>
      </c>
      <c r="F360">
        <v>35</v>
      </c>
      <c r="G360">
        <v>5</v>
      </c>
      <c r="H360">
        <v>196029.87</v>
      </c>
      <c r="I360">
        <v>4</v>
      </c>
      <c r="J360">
        <v>1</v>
      </c>
      <c r="K360">
        <v>0</v>
      </c>
      <c r="L360">
        <v>77933.48</v>
      </c>
      <c r="M360">
        <v>0</v>
      </c>
      <c r="O360" t="str">
        <f t="shared" si="10"/>
        <v/>
      </c>
      <c r="P360">
        <f t="shared" si="11"/>
        <v>77933.48</v>
      </c>
      <c r="R360" t="str">
        <f t="array" ref="R360">IFERROR(INDEX($L$2:$L$501,SMALL(IF($M$2:$M$501=1,ROW($M$2:$M$501)-1),ROW()-1)),"")</f>
        <v/>
      </c>
      <c r="S360" t="str" cm="1">
        <f t="array" ref="S360">IFERROR(INDEX($L$2:$L$501,SMALL(IF($M$2:$M$501=0,ROW($M$2:$M$501)-1),ROW()-1)),"")</f>
        <v/>
      </c>
      <c r="U360" t="str" cm="1">
        <f t="array" ref="U360">IFERROR(INDEX($C$2:$C$501,SMALL(IF($D$2:$D$501="France",ROW($D$2:$D$501)-1),ROW()-1)),"")</f>
        <v/>
      </c>
      <c r="V360" t="str" cm="1">
        <f t="array" ref="V360">IFERROR(INDEX($C$2:$C$501,SMALL(IF($D$2:$D$501="Germany",ROW($D$2:$D$501)-1),ROW()-1)),"")</f>
        <v/>
      </c>
      <c r="W360" t="str" cm="1">
        <f t="array" ref="W360">IFERROR(INDEX($C$2:$C$501,SMALL(IF($D$2:$D$501="Spain",ROW($D$2:$D$501)-1),ROW()-1)),"")</f>
        <v/>
      </c>
    </row>
    <row r="361" spans="1:23" x14ac:dyDescent="0.35">
      <c r="A361">
        <v>360</v>
      </c>
      <c r="B361" t="s">
        <v>17</v>
      </c>
      <c r="C361">
        <v>836</v>
      </c>
      <c r="D361" t="s">
        <v>24</v>
      </c>
      <c r="E361" t="s">
        <v>26</v>
      </c>
      <c r="F361">
        <v>23</v>
      </c>
      <c r="G361">
        <v>3</v>
      </c>
      <c r="H361">
        <v>149033.25</v>
      </c>
      <c r="I361">
        <v>2</v>
      </c>
      <c r="J361">
        <v>0</v>
      </c>
      <c r="K361">
        <v>0</v>
      </c>
      <c r="L361">
        <v>26370.52</v>
      </c>
      <c r="M361">
        <v>1</v>
      </c>
      <c r="O361">
        <f t="shared" si="10"/>
        <v>26370.52</v>
      </c>
      <c r="P361" t="str">
        <f t="shared" si="11"/>
        <v/>
      </c>
      <c r="R361" t="str">
        <f t="array" ref="R361">IFERROR(INDEX($L$2:$L$501,SMALL(IF($M$2:$M$501=1,ROW($M$2:$M$501)-1),ROW()-1)),"")</f>
        <v/>
      </c>
      <c r="S361" t="str" cm="1">
        <f t="array" ref="S361">IFERROR(INDEX($L$2:$L$501,SMALL(IF($M$2:$M$501=0,ROW($M$2:$M$501)-1),ROW()-1)),"")</f>
        <v/>
      </c>
      <c r="U361" t="str" cm="1">
        <f t="array" ref="U361">IFERROR(INDEX($C$2:$C$501,SMALL(IF($D$2:$D$501="France",ROW($D$2:$D$501)-1),ROW()-1)),"")</f>
        <v/>
      </c>
      <c r="V361" t="str" cm="1">
        <f t="array" ref="V361">IFERROR(INDEX($C$2:$C$501,SMALL(IF($D$2:$D$501="Germany",ROW($D$2:$D$501)-1),ROW()-1)),"")</f>
        <v/>
      </c>
      <c r="W361" t="str" cm="1">
        <f t="array" ref="W361">IFERROR(INDEX($C$2:$C$501,SMALL(IF($D$2:$D$501="Spain",ROW($D$2:$D$501)-1),ROW()-1)),"")</f>
        <v/>
      </c>
    </row>
    <row r="362" spans="1:23" x14ac:dyDescent="0.35">
      <c r="A362">
        <v>361</v>
      </c>
      <c r="B362" t="s">
        <v>15</v>
      </c>
      <c r="C362">
        <v>485</v>
      </c>
      <c r="D362" t="s">
        <v>23</v>
      </c>
      <c r="E362" t="s">
        <v>26</v>
      </c>
      <c r="F362">
        <v>44</v>
      </c>
      <c r="G362">
        <v>8</v>
      </c>
      <c r="H362">
        <v>45468.26</v>
      </c>
      <c r="I362">
        <v>2</v>
      </c>
      <c r="J362">
        <v>1</v>
      </c>
      <c r="K362">
        <v>1</v>
      </c>
      <c r="L362">
        <v>132665.07999999999</v>
      </c>
      <c r="M362">
        <v>0</v>
      </c>
      <c r="O362" t="str">
        <f t="shared" si="10"/>
        <v/>
      </c>
      <c r="P362">
        <f t="shared" si="11"/>
        <v>132665.07999999999</v>
      </c>
      <c r="R362" t="str">
        <f t="array" ref="R362">IFERROR(INDEX($L$2:$L$501,SMALL(IF($M$2:$M$501=1,ROW($M$2:$M$501)-1),ROW()-1)),"")</f>
        <v/>
      </c>
      <c r="S362" t="str" cm="1">
        <f t="array" ref="S362">IFERROR(INDEX($L$2:$L$501,SMALL(IF($M$2:$M$501=0,ROW($M$2:$M$501)-1),ROW()-1)),"")</f>
        <v/>
      </c>
      <c r="U362" t="str" cm="1">
        <f t="array" ref="U362">IFERROR(INDEX($C$2:$C$501,SMALL(IF($D$2:$D$501="France",ROW($D$2:$D$501)-1),ROW()-1)),"")</f>
        <v/>
      </c>
      <c r="V362" t="str" cm="1">
        <f t="array" ref="V362">IFERROR(INDEX($C$2:$C$501,SMALL(IF($D$2:$D$501="Germany",ROW($D$2:$D$501)-1),ROW()-1)),"")</f>
        <v/>
      </c>
      <c r="W362" t="str" cm="1">
        <f t="array" ref="W362">IFERROR(INDEX($C$2:$C$501,SMALL(IF($D$2:$D$501="Spain",ROW($D$2:$D$501)-1),ROW()-1)),"")</f>
        <v/>
      </c>
    </row>
    <row r="363" spans="1:23" x14ac:dyDescent="0.35">
      <c r="A363">
        <v>362</v>
      </c>
      <c r="B363" t="s">
        <v>20</v>
      </c>
      <c r="C363">
        <v>530</v>
      </c>
      <c r="D363" t="s">
        <v>24</v>
      </c>
      <c r="E363" t="s">
        <v>25</v>
      </c>
      <c r="F363">
        <v>81</v>
      </c>
      <c r="G363">
        <v>10</v>
      </c>
      <c r="H363">
        <v>58304.43</v>
      </c>
      <c r="I363">
        <v>1</v>
      </c>
      <c r="J363">
        <v>0</v>
      </c>
      <c r="K363">
        <v>0</v>
      </c>
      <c r="L363">
        <v>122633.44</v>
      </c>
      <c r="M363">
        <v>0</v>
      </c>
      <c r="O363" t="str">
        <f t="shared" si="10"/>
        <v/>
      </c>
      <c r="P363">
        <f t="shared" si="11"/>
        <v>122633.44</v>
      </c>
      <c r="R363" t="str">
        <f t="array" ref="R363">IFERROR(INDEX($L$2:$L$501,SMALL(IF($M$2:$M$501=1,ROW($M$2:$M$501)-1),ROW()-1)),"")</f>
        <v/>
      </c>
      <c r="S363" t="str" cm="1">
        <f t="array" ref="S363">IFERROR(INDEX($L$2:$L$501,SMALL(IF($M$2:$M$501=0,ROW($M$2:$M$501)-1),ROW()-1)),"")</f>
        <v/>
      </c>
      <c r="U363" t="str" cm="1">
        <f t="array" ref="U363">IFERROR(INDEX($C$2:$C$501,SMALL(IF($D$2:$D$501="France",ROW($D$2:$D$501)-1),ROW()-1)),"")</f>
        <v/>
      </c>
      <c r="V363" t="str" cm="1">
        <f t="array" ref="V363">IFERROR(INDEX($C$2:$C$501,SMALL(IF($D$2:$D$501="Germany",ROW($D$2:$D$501)-1),ROW()-1)),"")</f>
        <v/>
      </c>
      <c r="W363" t="str" cm="1">
        <f t="array" ref="W363">IFERROR(INDEX($C$2:$C$501,SMALL(IF($D$2:$D$501="Spain",ROW($D$2:$D$501)-1),ROW()-1)),"")</f>
        <v/>
      </c>
    </row>
    <row r="364" spans="1:23" x14ac:dyDescent="0.35">
      <c r="A364">
        <v>363</v>
      </c>
      <c r="B364" t="s">
        <v>18</v>
      </c>
      <c r="C364">
        <v>430</v>
      </c>
      <c r="D364" t="s">
        <v>23</v>
      </c>
      <c r="E364" t="s">
        <v>26</v>
      </c>
      <c r="F364">
        <v>45</v>
      </c>
      <c r="G364">
        <v>9</v>
      </c>
      <c r="H364">
        <v>226048.06</v>
      </c>
      <c r="I364">
        <v>4</v>
      </c>
      <c r="J364">
        <v>1</v>
      </c>
      <c r="K364">
        <v>1</v>
      </c>
      <c r="L364">
        <v>13741.1</v>
      </c>
      <c r="M364">
        <v>1</v>
      </c>
      <c r="O364">
        <f t="shared" si="10"/>
        <v>13741.1</v>
      </c>
      <c r="P364" t="str">
        <f t="shared" si="11"/>
        <v/>
      </c>
      <c r="R364" t="str">
        <f t="array" ref="R364">IFERROR(INDEX($L$2:$L$501,SMALL(IF($M$2:$M$501=1,ROW($M$2:$M$501)-1),ROW()-1)),"")</f>
        <v/>
      </c>
      <c r="S364" t="str" cm="1">
        <f t="array" ref="S364">IFERROR(INDEX($L$2:$L$501,SMALL(IF($M$2:$M$501=0,ROW($M$2:$M$501)-1),ROW()-1)),"")</f>
        <v/>
      </c>
      <c r="U364" t="str" cm="1">
        <f t="array" ref="U364">IFERROR(INDEX($C$2:$C$501,SMALL(IF($D$2:$D$501="France",ROW($D$2:$D$501)-1),ROW()-1)),"")</f>
        <v/>
      </c>
      <c r="V364" t="str" cm="1">
        <f t="array" ref="V364">IFERROR(INDEX($C$2:$C$501,SMALL(IF($D$2:$D$501="Germany",ROW($D$2:$D$501)-1),ROW()-1)),"")</f>
        <v/>
      </c>
      <c r="W364" t="str" cm="1">
        <f t="array" ref="W364">IFERROR(INDEX($C$2:$C$501,SMALL(IF($D$2:$D$501="Spain",ROW($D$2:$D$501)-1),ROW()-1)),"")</f>
        <v/>
      </c>
    </row>
    <row r="365" spans="1:23" x14ac:dyDescent="0.35">
      <c r="A365">
        <v>364</v>
      </c>
      <c r="B365" t="s">
        <v>18</v>
      </c>
      <c r="C365">
        <v>763</v>
      </c>
      <c r="D365" t="s">
        <v>24</v>
      </c>
      <c r="E365" t="s">
        <v>26</v>
      </c>
      <c r="F365">
        <v>59</v>
      </c>
      <c r="G365">
        <v>0</v>
      </c>
      <c r="H365">
        <v>99046.96</v>
      </c>
      <c r="I365">
        <v>4</v>
      </c>
      <c r="J365">
        <v>1</v>
      </c>
      <c r="K365">
        <v>0</v>
      </c>
      <c r="L365">
        <v>15699.41</v>
      </c>
      <c r="M365">
        <v>0</v>
      </c>
      <c r="O365" t="str">
        <f t="shared" si="10"/>
        <v/>
      </c>
      <c r="P365">
        <f t="shared" si="11"/>
        <v>15699.41</v>
      </c>
      <c r="R365" t="str">
        <f t="array" ref="R365">IFERROR(INDEX($L$2:$L$501,SMALL(IF($M$2:$M$501=1,ROW($M$2:$M$501)-1),ROW()-1)),"")</f>
        <v/>
      </c>
      <c r="S365" t="str" cm="1">
        <f t="array" ref="S365">IFERROR(INDEX($L$2:$L$501,SMALL(IF($M$2:$M$501=0,ROW($M$2:$M$501)-1),ROW()-1)),"")</f>
        <v/>
      </c>
      <c r="U365" t="str" cm="1">
        <f t="array" ref="U365">IFERROR(INDEX($C$2:$C$501,SMALL(IF($D$2:$D$501="France",ROW($D$2:$D$501)-1),ROW()-1)),"")</f>
        <v/>
      </c>
      <c r="V365" t="str" cm="1">
        <f t="array" ref="V365">IFERROR(INDEX($C$2:$C$501,SMALL(IF($D$2:$D$501="Germany",ROW($D$2:$D$501)-1),ROW()-1)),"")</f>
        <v/>
      </c>
      <c r="W365" t="str" cm="1">
        <f t="array" ref="W365">IFERROR(INDEX($C$2:$C$501,SMALL(IF($D$2:$D$501="Spain",ROW($D$2:$D$501)-1),ROW()-1)),"")</f>
        <v/>
      </c>
    </row>
    <row r="366" spans="1:23" x14ac:dyDescent="0.35">
      <c r="A366">
        <v>365</v>
      </c>
      <c r="B366" t="s">
        <v>21</v>
      </c>
      <c r="C366">
        <v>350</v>
      </c>
      <c r="D366" t="s">
        <v>22</v>
      </c>
      <c r="E366" t="s">
        <v>26</v>
      </c>
      <c r="F366">
        <v>31</v>
      </c>
      <c r="G366">
        <v>10</v>
      </c>
      <c r="H366">
        <v>213425.22</v>
      </c>
      <c r="I366">
        <v>2</v>
      </c>
      <c r="J366">
        <v>0</v>
      </c>
      <c r="K366">
        <v>0</v>
      </c>
      <c r="L366">
        <v>36418.230000000003</v>
      </c>
      <c r="M366">
        <v>1</v>
      </c>
      <c r="O366">
        <f t="shared" si="10"/>
        <v>36418.230000000003</v>
      </c>
      <c r="P366" t="str">
        <f t="shared" si="11"/>
        <v/>
      </c>
      <c r="R366" t="str">
        <f t="array" ref="R366">IFERROR(INDEX($L$2:$L$501,SMALL(IF($M$2:$M$501=1,ROW($M$2:$M$501)-1),ROW()-1)),"")</f>
        <v/>
      </c>
      <c r="S366" t="str" cm="1">
        <f t="array" ref="S366">IFERROR(INDEX($L$2:$L$501,SMALL(IF($M$2:$M$501=0,ROW($M$2:$M$501)-1),ROW()-1)),"")</f>
        <v/>
      </c>
      <c r="U366" t="str" cm="1">
        <f t="array" ref="U366">IFERROR(INDEX($C$2:$C$501,SMALL(IF($D$2:$D$501="France",ROW($D$2:$D$501)-1),ROW()-1)),"")</f>
        <v/>
      </c>
      <c r="V366" t="str" cm="1">
        <f t="array" ref="V366">IFERROR(INDEX($C$2:$C$501,SMALL(IF($D$2:$D$501="Germany",ROW($D$2:$D$501)-1),ROW()-1)),"")</f>
        <v/>
      </c>
      <c r="W366" t="str" cm="1">
        <f t="array" ref="W366">IFERROR(INDEX($C$2:$C$501,SMALL(IF($D$2:$D$501="Spain",ROW($D$2:$D$501)-1),ROW()-1)),"")</f>
        <v/>
      </c>
    </row>
    <row r="367" spans="1:23" x14ac:dyDescent="0.35">
      <c r="A367">
        <v>366</v>
      </c>
      <c r="B367" t="s">
        <v>15</v>
      </c>
      <c r="C367">
        <v>565</v>
      </c>
      <c r="D367" t="s">
        <v>22</v>
      </c>
      <c r="E367" t="s">
        <v>25</v>
      </c>
      <c r="F367">
        <v>63</v>
      </c>
      <c r="G367">
        <v>7</v>
      </c>
      <c r="H367">
        <v>244367.77</v>
      </c>
      <c r="I367">
        <v>4</v>
      </c>
      <c r="J367">
        <v>1</v>
      </c>
      <c r="K367">
        <v>1</v>
      </c>
      <c r="L367">
        <v>130825.14</v>
      </c>
      <c r="M367">
        <v>0</v>
      </c>
      <c r="O367" t="str">
        <f t="shared" si="10"/>
        <v/>
      </c>
      <c r="P367">
        <f t="shared" si="11"/>
        <v>130825.14</v>
      </c>
      <c r="R367" t="str">
        <f t="array" ref="R367">IFERROR(INDEX($L$2:$L$501,SMALL(IF($M$2:$M$501=1,ROW($M$2:$M$501)-1),ROW()-1)),"")</f>
        <v/>
      </c>
      <c r="S367" t="str" cm="1">
        <f t="array" ref="S367">IFERROR(INDEX($L$2:$L$501,SMALL(IF($M$2:$M$501=0,ROW($M$2:$M$501)-1),ROW()-1)),"")</f>
        <v/>
      </c>
      <c r="U367" t="str" cm="1">
        <f t="array" ref="U367">IFERROR(INDEX($C$2:$C$501,SMALL(IF($D$2:$D$501="France",ROW($D$2:$D$501)-1),ROW()-1)),"")</f>
        <v/>
      </c>
      <c r="V367" t="str" cm="1">
        <f t="array" ref="V367">IFERROR(INDEX($C$2:$C$501,SMALL(IF($D$2:$D$501="Germany",ROW($D$2:$D$501)-1),ROW()-1)),"")</f>
        <v/>
      </c>
      <c r="W367" t="str" cm="1">
        <f t="array" ref="W367">IFERROR(INDEX($C$2:$C$501,SMALL(IF($D$2:$D$501="Spain",ROW($D$2:$D$501)-1),ROW()-1)),"")</f>
        <v/>
      </c>
    </row>
    <row r="368" spans="1:23" x14ac:dyDescent="0.35">
      <c r="A368">
        <v>367</v>
      </c>
      <c r="B368" t="s">
        <v>19</v>
      </c>
      <c r="C368">
        <v>557</v>
      </c>
      <c r="D368" t="s">
        <v>24</v>
      </c>
      <c r="E368" t="s">
        <v>26</v>
      </c>
      <c r="F368">
        <v>66</v>
      </c>
      <c r="G368">
        <v>2</v>
      </c>
      <c r="H368">
        <v>89466.82</v>
      </c>
      <c r="I368">
        <v>4</v>
      </c>
      <c r="J368">
        <v>1</v>
      </c>
      <c r="K368">
        <v>1</v>
      </c>
      <c r="L368">
        <v>37239.08</v>
      </c>
      <c r="M368">
        <v>1</v>
      </c>
      <c r="O368">
        <f t="shared" si="10"/>
        <v>37239.08</v>
      </c>
      <c r="P368" t="str">
        <f t="shared" si="11"/>
        <v/>
      </c>
      <c r="R368" t="str">
        <f t="array" ref="R368">IFERROR(INDEX($L$2:$L$501,SMALL(IF($M$2:$M$501=1,ROW($M$2:$M$501)-1),ROW()-1)),"")</f>
        <v/>
      </c>
      <c r="S368" t="str" cm="1">
        <f t="array" ref="S368">IFERROR(INDEX($L$2:$L$501,SMALL(IF($M$2:$M$501=0,ROW($M$2:$M$501)-1),ROW()-1)),"")</f>
        <v/>
      </c>
      <c r="U368" t="str" cm="1">
        <f t="array" ref="U368">IFERROR(INDEX($C$2:$C$501,SMALL(IF($D$2:$D$501="France",ROW($D$2:$D$501)-1),ROW()-1)),"")</f>
        <v/>
      </c>
      <c r="V368" t="str" cm="1">
        <f t="array" ref="V368">IFERROR(INDEX($C$2:$C$501,SMALL(IF($D$2:$D$501="Germany",ROW($D$2:$D$501)-1),ROW()-1)),"")</f>
        <v/>
      </c>
      <c r="W368" t="str" cm="1">
        <f t="array" ref="W368">IFERROR(INDEX($C$2:$C$501,SMALL(IF($D$2:$D$501="Spain",ROW($D$2:$D$501)-1),ROW()-1)),"")</f>
        <v/>
      </c>
    </row>
    <row r="369" spans="1:23" x14ac:dyDescent="0.35">
      <c r="A369">
        <v>368</v>
      </c>
      <c r="B369" t="s">
        <v>16</v>
      </c>
      <c r="C369">
        <v>680</v>
      </c>
      <c r="D369" t="s">
        <v>22</v>
      </c>
      <c r="E369" t="s">
        <v>26</v>
      </c>
      <c r="F369">
        <v>74</v>
      </c>
      <c r="G369">
        <v>10</v>
      </c>
      <c r="H369">
        <v>3229.42</v>
      </c>
      <c r="I369">
        <v>2</v>
      </c>
      <c r="J369">
        <v>0</v>
      </c>
      <c r="K369">
        <v>0</v>
      </c>
      <c r="L369">
        <v>139041.32999999999</v>
      </c>
      <c r="M369">
        <v>1</v>
      </c>
      <c r="O369">
        <f t="shared" si="10"/>
        <v>139041.32999999999</v>
      </c>
      <c r="P369" t="str">
        <f t="shared" si="11"/>
        <v/>
      </c>
      <c r="R369" t="str">
        <f t="array" ref="R369">IFERROR(INDEX($L$2:$L$501,SMALL(IF($M$2:$M$501=1,ROW($M$2:$M$501)-1),ROW()-1)),"")</f>
        <v/>
      </c>
      <c r="S369" t="str" cm="1">
        <f t="array" ref="S369">IFERROR(INDEX($L$2:$L$501,SMALL(IF($M$2:$M$501=0,ROW($M$2:$M$501)-1),ROW()-1)),"")</f>
        <v/>
      </c>
      <c r="U369" t="str" cm="1">
        <f t="array" ref="U369">IFERROR(INDEX($C$2:$C$501,SMALL(IF($D$2:$D$501="France",ROW($D$2:$D$501)-1),ROW()-1)),"")</f>
        <v/>
      </c>
      <c r="V369" t="str" cm="1">
        <f t="array" ref="V369">IFERROR(INDEX($C$2:$C$501,SMALL(IF($D$2:$D$501="Germany",ROW($D$2:$D$501)-1),ROW()-1)),"")</f>
        <v/>
      </c>
      <c r="W369" t="str" cm="1">
        <f t="array" ref="W369">IFERROR(INDEX($C$2:$C$501,SMALL(IF($D$2:$D$501="Spain",ROW($D$2:$D$501)-1),ROW()-1)),"")</f>
        <v/>
      </c>
    </row>
    <row r="370" spans="1:23" x14ac:dyDescent="0.35">
      <c r="A370">
        <v>369</v>
      </c>
      <c r="B370" t="s">
        <v>18</v>
      </c>
      <c r="C370">
        <v>602</v>
      </c>
      <c r="D370" t="s">
        <v>24</v>
      </c>
      <c r="E370" t="s">
        <v>26</v>
      </c>
      <c r="F370">
        <v>76</v>
      </c>
      <c r="G370">
        <v>8</v>
      </c>
      <c r="H370">
        <v>181947.19</v>
      </c>
      <c r="I370">
        <v>3</v>
      </c>
      <c r="J370">
        <v>0</v>
      </c>
      <c r="K370">
        <v>1</v>
      </c>
      <c r="L370">
        <v>81521.02</v>
      </c>
      <c r="M370">
        <v>0</v>
      </c>
      <c r="O370" t="str">
        <f t="shared" si="10"/>
        <v/>
      </c>
      <c r="P370">
        <f t="shared" si="11"/>
        <v>81521.02</v>
      </c>
      <c r="R370" t="str">
        <f t="array" ref="R370">IFERROR(INDEX($L$2:$L$501,SMALL(IF($M$2:$M$501=1,ROW($M$2:$M$501)-1),ROW()-1)),"")</f>
        <v/>
      </c>
      <c r="S370" t="str" cm="1">
        <f t="array" ref="S370">IFERROR(INDEX($L$2:$L$501,SMALL(IF($M$2:$M$501=0,ROW($M$2:$M$501)-1),ROW()-1)),"")</f>
        <v/>
      </c>
      <c r="U370" t="str" cm="1">
        <f t="array" ref="U370">IFERROR(INDEX($C$2:$C$501,SMALL(IF($D$2:$D$501="France",ROW($D$2:$D$501)-1),ROW()-1)),"")</f>
        <v/>
      </c>
      <c r="V370" t="str" cm="1">
        <f t="array" ref="V370">IFERROR(INDEX($C$2:$C$501,SMALL(IF($D$2:$D$501="Germany",ROW($D$2:$D$501)-1),ROW()-1)),"")</f>
        <v/>
      </c>
      <c r="W370" t="str" cm="1">
        <f t="array" ref="W370">IFERROR(INDEX($C$2:$C$501,SMALL(IF($D$2:$D$501="Spain",ROW($D$2:$D$501)-1),ROW()-1)),"")</f>
        <v/>
      </c>
    </row>
    <row r="371" spans="1:23" x14ac:dyDescent="0.35">
      <c r="A371">
        <v>370</v>
      </c>
      <c r="B371" t="s">
        <v>21</v>
      </c>
      <c r="C371">
        <v>481</v>
      </c>
      <c r="D371" t="s">
        <v>22</v>
      </c>
      <c r="E371" t="s">
        <v>26</v>
      </c>
      <c r="F371">
        <v>35</v>
      </c>
      <c r="G371">
        <v>7</v>
      </c>
      <c r="H371">
        <v>121359.53</v>
      </c>
      <c r="I371">
        <v>3</v>
      </c>
      <c r="J371">
        <v>0</v>
      </c>
      <c r="K371">
        <v>0</v>
      </c>
      <c r="L371">
        <v>50215.32</v>
      </c>
      <c r="M371">
        <v>1</v>
      </c>
      <c r="O371">
        <f t="shared" si="10"/>
        <v>50215.32</v>
      </c>
      <c r="P371" t="str">
        <f t="shared" si="11"/>
        <v/>
      </c>
      <c r="R371" t="str">
        <f t="array" ref="R371">IFERROR(INDEX($L$2:$L$501,SMALL(IF($M$2:$M$501=1,ROW($M$2:$M$501)-1),ROW()-1)),"")</f>
        <v/>
      </c>
      <c r="S371" t="str" cm="1">
        <f t="array" ref="S371">IFERROR(INDEX($L$2:$L$501,SMALL(IF($M$2:$M$501=0,ROW($M$2:$M$501)-1),ROW()-1)),"")</f>
        <v/>
      </c>
      <c r="U371" t="str" cm="1">
        <f t="array" ref="U371">IFERROR(INDEX($C$2:$C$501,SMALL(IF($D$2:$D$501="France",ROW($D$2:$D$501)-1),ROW()-1)),"")</f>
        <v/>
      </c>
      <c r="V371" t="str" cm="1">
        <f t="array" ref="V371">IFERROR(INDEX($C$2:$C$501,SMALL(IF($D$2:$D$501="Germany",ROW($D$2:$D$501)-1),ROW()-1)),"")</f>
        <v/>
      </c>
      <c r="W371" t="str" cm="1">
        <f t="array" ref="W371">IFERROR(INDEX($C$2:$C$501,SMALL(IF($D$2:$D$501="Spain",ROW($D$2:$D$501)-1),ROW()-1)),"")</f>
        <v/>
      </c>
    </row>
    <row r="372" spans="1:23" x14ac:dyDescent="0.35">
      <c r="A372">
        <v>371</v>
      </c>
      <c r="B372" t="s">
        <v>12</v>
      </c>
      <c r="C372">
        <v>411</v>
      </c>
      <c r="D372" t="s">
        <v>22</v>
      </c>
      <c r="E372" t="s">
        <v>26</v>
      </c>
      <c r="F372">
        <v>25</v>
      </c>
      <c r="G372">
        <v>6</v>
      </c>
      <c r="H372">
        <v>221855.45</v>
      </c>
      <c r="I372">
        <v>3</v>
      </c>
      <c r="J372">
        <v>0</v>
      </c>
      <c r="K372">
        <v>1</v>
      </c>
      <c r="L372">
        <v>27505.16</v>
      </c>
      <c r="M372">
        <v>0</v>
      </c>
      <c r="O372" t="str">
        <f t="shared" si="10"/>
        <v/>
      </c>
      <c r="P372">
        <f t="shared" si="11"/>
        <v>27505.16</v>
      </c>
      <c r="R372" t="str">
        <f t="array" ref="R372">IFERROR(INDEX($L$2:$L$501,SMALL(IF($M$2:$M$501=1,ROW($M$2:$M$501)-1),ROW()-1)),"")</f>
        <v/>
      </c>
      <c r="S372" t="str" cm="1">
        <f t="array" ref="S372">IFERROR(INDEX($L$2:$L$501,SMALL(IF($M$2:$M$501=0,ROW($M$2:$M$501)-1),ROW()-1)),"")</f>
        <v/>
      </c>
      <c r="U372" t="str" cm="1">
        <f t="array" ref="U372">IFERROR(INDEX($C$2:$C$501,SMALL(IF($D$2:$D$501="France",ROW($D$2:$D$501)-1),ROW()-1)),"")</f>
        <v/>
      </c>
      <c r="V372" t="str" cm="1">
        <f t="array" ref="V372">IFERROR(INDEX($C$2:$C$501,SMALL(IF($D$2:$D$501="Germany",ROW($D$2:$D$501)-1),ROW()-1)),"")</f>
        <v/>
      </c>
      <c r="W372" t="str" cm="1">
        <f t="array" ref="W372">IFERROR(INDEX($C$2:$C$501,SMALL(IF($D$2:$D$501="Spain",ROW($D$2:$D$501)-1),ROW()-1)),"")</f>
        <v/>
      </c>
    </row>
    <row r="373" spans="1:23" x14ac:dyDescent="0.35">
      <c r="A373">
        <v>372</v>
      </c>
      <c r="B373" t="s">
        <v>16</v>
      </c>
      <c r="C373">
        <v>673</v>
      </c>
      <c r="D373" t="s">
        <v>24</v>
      </c>
      <c r="E373" t="s">
        <v>25</v>
      </c>
      <c r="F373">
        <v>44</v>
      </c>
      <c r="G373">
        <v>0</v>
      </c>
      <c r="H373">
        <v>42307.27</v>
      </c>
      <c r="I373">
        <v>4</v>
      </c>
      <c r="J373">
        <v>1</v>
      </c>
      <c r="K373">
        <v>0</v>
      </c>
      <c r="L373">
        <v>91193.31</v>
      </c>
      <c r="M373">
        <v>1</v>
      </c>
      <c r="O373">
        <f t="shared" si="10"/>
        <v>91193.31</v>
      </c>
      <c r="P373" t="str">
        <f t="shared" si="11"/>
        <v/>
      </c>
      <c r="R373" t="str">
        <f t="array" ref="R373">IFERROR(INDEX($L$2:$L$501,SMALL(IF($M$2:$M$501=1,ROW($M$2:$M$501)-1),ROW()-1)),"")</f>
        <v/>
      </c>
      <c r="S373" t="str" cm="1">
        <f t="array" ref="S373">IFERROR(INDEX($L$2:$L$501,SMALL(IF($M$2:$M$501=0,ROW($M$2:$M$501)-1),ROW()-1)),"")</f>
        <v/>
      </c>
      <c r="U373" t="str" cm="1">
        <f t="array" ref="U373">IFERROR(INDEX($C$2:$C$501,SMALL(IF($D$2:$D$501="France",ROW($D$2:$D$501)-1),ROW()-1)),"")</f>
        <v/>
      </c>
      <c r="V373" t="str" cm="1">
        <f t="array" ref="V373">IFERROR(INDEX($C$2:$C$501,SMALL(IF($D$2:$D$501="Germany",ROW($D$2:$D$501)-1),ROW()-1)),"")</f>
        <v/>
      </c>
      <c r="W373" t="str" cm="1">
        <f t="array" ref="W373">IFERROR(INDEX($C$2:$C$501,SMALL(IF($D$2:$D$501="Spain",ROW($D$2:$D$501)-1),ROW()-1)),"")</f>
        <v/>
      </c>
    </row>
    <row r="374" spans="1:23" x14ac:dyDescent="0.35">
      <c r="A374">
        <v>373</v>
      </c>
      <c r="B374" t="s">
        <v>15</v>
      </c>
      <c r="C374">
        <v>494</v>
      </c>
      <c r="D374" t="s">
        <v>23</v>
      </c>
      <c r="E374" t="s">
        <v>26</v>
      </c>
      <c r="F374">
        <v>35</v>
      </c>
      <c r="G374">
        <v>5</v>
      </c>
      <c r="H374">
        <v>60811.89</v>
      </c>
      <c r="I374">
        <v>1</v>
      </c>
      <c r="J374">
        <v>1</v>
      </c>
      <c r="K374">
        <v>0</v>
      </c>
      <c r="L374">
        <v>135514.51</v>
      </c>
      <c r="M374">
        <v>0</v>
      </c>
      <c r="O374" t="str">
        <f t="shared" si="10"/>
        <v/>
      </c>
      <c r="P374">
        <f t="shared" si="11"/>
        <v>135514.51</v>
      </c>
      <c r="R374" t="str">
        <f t="array" ref="R374">IFERROR(INDEX($L$2:$L$501,SMALL(IF($M$2:$M$501=1,ROW($M$2:$M$501)-1),ROW()-1)),"")</f>
        <v/>
      </c>
      <c r="S374" t="str" cm="1">
        <f t="array" ref="S374">IFERROR(INDEX($L$2:$L$501,SMALL(IF($M$2:$M$501=0,ROW($M$2:$M$501)-1),ROW()-1)),"")</f>
        <v/>
      </c>
      <c r="U374" t="str" cm="1">
        <f t="array" ref="U374">IFERROR(INDEX($C$2:$C$501,SMALL(IF($D$2:$D$501="France",ROW($D$2:$D$501)-1),ROW()-1)),"")</f>
        <v/>
      </c>
      <c r="V374" t="str" cm="1">
        <f t="array" ref="V374">IFERROR(INDEX($C$2:$C$501,SMALL(IF($D$2:$D$501="Germany",ROW($D$2:$D$501)-1),ROW()-1)),"")</f>
        <v/>
      </c>
      <c r="W374" t="str" cm="1">
        <f t="array" ref="W374">IFERROR(INDEX($C$2:$C$501,SMALL(IF($D$2:$D$501="Spain",ROW($D$2:$D$501)-1),ROW()-1)),"")</f>
        <v/>
      </c>
    </row>
    <row r="375" spans="1:23" x14ac:dyDescent="0.35">
      <c r="A375">
        <v>374</v>
      </c>
      <c r="B375" t="s">
        <v>21</v>
      </c>
      <c r="C375">
        <v>718</v>
      </c>
      <c r="D375" t="s">
        <v>23</v>
      </c>
      <c r="E375" t="s">
        <v>26</v>
      </c>
      <c r="F375">
        <v>86</v>
      </c>
      <c r="G375">
        <v>2</v>
      </c>
      <c r="H375">
        <v>117910.43</v>
      </c>
      <c r="I375">
        <v>4</v>
      </c>
      <c r="J375">
        <v>1</v>
      </c>
      <c r="K375">
        <v>0</v>
      </c>
      <c r="L375">
        <v>96850.83</v>
      </c>
      <c r="M375">
        <v>0</v>
      </c>
      <c r="O375" t="str">
        <f t="shared" si="10"/>
        <v/>
      </c>
      <c r="P375">
        <f t="shared" si="11"/>
        <v>96850.83</v>
      </c>
      <c r="R375" t="str">
        <f t="array" ref="R375">IFERROR(INDEX($L$2:$L$501,SMALL(IF($M$2:$M$501=1,ROW($M$2:$M$501)-1),ROW()-1)),"")</f>
        <v/>
      </c>
      <c r="S375" t="str" cm="1">
        <f t="array" ref="S375">IFERROR(INDEX($L$2:$L$501,SMALL(IF($M$2:$M$501=0,ROW($M$2:$M$501)-1),ROW()-1)),"")</f>
        <v/>
      </c>
      <c r="U375" t="str" cm="1">
        <f t="array" ref="U375">IFERROR(INDEX($C$2:$C$501,SMALL(IF($D$2:$D$501="France",ROW($D$2:$D$501)-1),ROW()-1)),"")</f>
        <v/>
      </c>
      <c r="V375" t="str" cm="1">
        <f t="array" ref="V375">IFERROR(INDEX($C$2:$C$501,SMALL(IF($D$2:$D$501="Germany",ROW($D$2:$D$501)-1),ROW()-1)),"")</f>
        <v/>
      </c>
      <c r="W375" t="str" cm="1">
        <f t="array" ref="W375">IFERROR(INDEX($C$2:$C$501,SMALL(IF($D$2:$D$501="Spain",ROW($D$2:$D$501)-1),ROW()-1)),"")</f>
        <v/>
      </c>
    </row>
    <row r="376" spans="1:23" x14ac:dyDescent="0.35">
      <c r="A376">
        <v>375</v>
      </c>
      <c r="B376" t="s">
        <v>14</v>
      </c>
      <c r="C376">
        <v>807</v>
      </c>
      <c r="D376" t="s">
        <v>23</v>
      </c>
      <c r="E376" t="s">
        <v>25</v>
      </c>
      <c r="F376">
        <v>61</v>
      </c>
      <c r="G376">
        <v>10</v>
      </c>
      <c r="H376">
        <v>33943.949999999997</v>
      </c>
      <c r="I376">
        <v>2</v>
      </c>
      <c r="J376">
        <v>1</v>
      </c>
      <c r="K376">
        <v>1</v>
      </c>
      <c r="L376">
        <v>70802.91</v>
      </c>
      <c r="M376">
        <v>0</v>
      </c>
      <c r="O376" t="str">
        <f t="shared" si="10"/>
        <v/>
      </c>
      <c r="P376">
        <f t="shared" si="11"/>
        <v>70802.91</v>
      </c>
      <c r="R376" t="str">
        <f t="array" ref="R376">IFERROR(INDEX($L$2:$L$501,SMALL(IF($M$2:$M$501=1,ROW($M$2:$M$501)-1),ROW()-1)),"")</f>
        <v/>
      </c>
      <c r="S376" t="str" cm="1">
        <f t="array" ref="S376">IFERROR(INDEX($L$2:$L$501,SMALL(IF($M$2:$M$501=0,ROW($M$2:$M$501)-1),ROW()-1)),"")</f>
        <v/>
      </c>
      <c r="U376" t="str" cm="1">
        <f t="array" ref="U376">IFERROR(INDEX($C$2:$C$501,SMALL(IF($D$2:$D$501="France",ROW($D$2:$D$501)-1),ROW()-1)),"")</f>
        <v/>
      </c>
      <c r="V376" t="str" cm="1">
        <f t="array" ref="V376">IFERROR(INDEX($C$2:$C$501,SMALL(IF($D$2:$D$501="Germany",ROW($D$2:$D$501)-1),ROW()-1)),"")</f>
        <v/>
      </c>
      <c r="W376" t="str" cm="1">
        <f t="array" ref="W376">IFERROR(INDEX($C$2:$C$501,SMALL(IF($D$2:$D$501="Spain",ROW($D$2:$D$501)-1),ROW()-1)),"")</f>
        <v/>
      </c>
    </row>
    <row r="377" spans="1:23" x14ac:dyDescent="0.35">
      <c r="A377">
        <v>376</v>
      </c>
      <c r="B377" t="s">
        <v>12</v>
      </c>
      <c r="C377">
        <v>434</v>
      </c>
      <c r="D377" t="s">
        <v>24</v>
      </c>
      <c r="E377" t="s">
        <v>25</v>
      </c>
      <c r="F377">
        <v>65</v>
      </c>
      <c r="G377">
        <v>6</v>
      </c>
      <c r="H377">
        <v>90083.5</v>
      </c>
      <c r="I377">
        <v>1</v>
      </c>
      <c r="J377">
        <v>0</v>
      </c>
      <c r="K377">
        <v>1</v>
      </c>
      <c r="L377">
        <v>97501.27</v>
      </c>
      <c r="M377">
        <v>0</v>
      </c>
      <c r="O377" t="str">
        <f t="shared" si="10"/>
        <v/>
      </c>
      <c r="P377">
        <f t="shared" si="11"/>
        <v>97501.27</v>
      </c>
      <c r="R377" t="str">
        <f t="array" ref="R377">IFERROR(INDEX($L$2:$L$501,SMALL(IF($M$2:$M$501=1,ROW($M$2:$M$501)-1),ROW()-1)),"")</f>
        <v/>
      </c>
      <c r="S377" t="str" cm="1">
        <f t="array" ref="S377">IFERROR(INDEX($L$2:$L$501,SMALL(IF($M$2:$M$501=0,ROW($M$2:$M$501)-1),ROW()-1)),"")</f>
        <v/>
      </c>
      <c r="U377" t="str" cm="1">
        <f t="array" ref="U377">IFERROR(INDEX($C$2:$C$501,SMALL(IF($D$2:$D$501="France",ROW($D$2:$D$501)-1),ROW()-1)),"")</f>
        <v/>
      </c>
      <c r="V377" t="str" cm="1">
        <f t="array" ref="V377">IFERROR(INDEX($C$2:$C$501,SMALL(IF($D$2:$D$501="Germany",ROW($D$2:$D$501)-1),ROW()-1)),"")</f>
        <v/>
      </c>
      <c r="W377" t="str" cm="1">
        <f t="array" ref="W377">IFERROR(INDEX($C$2:$C$501,SMALL(IF($D$2:$D$501="Spain",ROW($D$2:$D$501)-1),ROW()-1)),"")</f>
        <v/>
      </c>
    </row>
    <row r="378" spans="1:23" x14ac:dyDescent="0.35">
      <c r="A378">
        <v>377</v>
      </c>
      <c r="B378" t="s">
        <v>15</v>
      </c>
      <c r="C378">
        <v>466</v>
      </c>
      <c r="D378" t="s">
        <v>23</v>
      </c>
      <c r="E378" t="s">
        <v>26</v>
      </c>
      <c r="F378">
        <v>90</v>
      </c>
      <c r="G378">
        <v>8</v>
      </c>
      <c r="H378">
        <v>3890.93</v>
      </c>
      <c r="I378">
        <v>2</v>
      </c>
      <c r="J378">
        <v>0</v>
      </c>
      <c r="K378">
        <v>1</v>
      </c>
      <c r="L378">
        <v>112863.73</v>
      </c>
      <c r="M378">
        <v>1</v>
      </c>
      <c r="O378">
        <f t="shared" si="10"/>
        <v>112863.73</v>
      </c>
      <c r="P378" t="str">
        <f t="shared" si="11"/>
        <v/>
      </c>
      <c r="R378" t="str">
        <f t="array" ref="R378">IFERROR(INDEX($L$2:$L$501,SMALL(IF($M$2:$M$501=1,ROW($M$2:$M$501)-1),ROW()-1)),"")</f>
        <v/>
      </c>
      <c r="S378" t="str" cm="1">
        <f t="array" ref="S378">IFERROR(INDEX($L$2:$L$501,SMALL(IF($M$2:$M$501=0,ROW($M$2:$M$501)-1),ROW()-1)),"")</f>
        <v/>
      </c>
      <c r="U378" t="str" cm="1">
        <f t="array" ref="U378">IFERROR(INDEX($C$2:$C$501,SMALL(IF($D$2:$D$501="France",ROW($D$2:$D$501)-1),ROW()-1)),"")</f>
        <v/>
      </c>
      <c r="V378" t="str" cm="1">
        <f t="array" ref="V378">IFERROR(INDEX($C$2:$C$501,SMALL(IF($D$2:$D$501="Germany",ROW($D$2:$D$501)-1),ROW()-1)),"")</f>
        <v/>
      </c>
      <c r="W378" t="str" cm="1">
        <f t="array" ref="W378">IFERROR(INDEX($C$2:$C$501,SMALL(IF($D$2:$D$501="Spain",ROW($D$2:$D$501)-1),ROW()-1)),"")</f>
        <v/>
      </c>
    </row>
    <row r="379" spans="1:23" x14ac:dyDescent="0.35">
      <c r="A379">
        <v>378</v>
      </c>
      <c r="B379" t="s">
        <v>14</v>
      </c>
      <c r="C379">
        <v>579</v>
      </c>
      <c r="D379" t="s">
        <v>22</v>
      </c>
      <c r="E379" t="s">
        <v>26</v>
      </c>
      <c r="F379">
        <v>76</v>
      </c>
      <c r="G379">
        <v>4</v>
      </c>
      <c r="H379">
        <v>200445.11</v>
      </c>
      <c r="I379">
        <v>1</v>
      </c>
      <c r="J379">
        <v>1</v>
      </c>
      <c r="K379">
        <v>1</v>
      </c>
      <c r="L379">
        <v>43482.28</v>
      </c>
      <c r="M379">
        <v>0</v>
      </c>
      <c r="O379" t="str">
        <f t="shared" si="10"/>
        <v/>
      </c>
      <c r="P379">
        <f t="shared" si="11"/>
        <v>43482.28</v>
      </c>
      <c r="R379" t="str">
        <f t="array" ref="R379">IFERROR(INDEX($L$2:$L$501,SMALL(IF($M$2:$M$501=1,ROW($M$2:$M$501)-1),ROW()-1)),"")</f>
        <v/>
      </c>
      <c r="S379" t="str" cm="1">
        <f t="array" ref="S379">IFERROR(INDEX($L$2:$L$501,SMALL(IF($M$2:$M$501=0,ROW($M$2:$M$501)-1),ROW()-1)),"")</f>
        <v/>
      </c>
      <c r="U379" t="str" cm="1">
        <f t="array" ref="U379">IFERROR(INDEX($C$2:$C$501,SMALL(IF($D$2:$D$501="France",ROW($D$2:$D$501)-1),ROW()-1)),"")</f>
        <v/>
      </c>
      <c r="V379" t="str" cm="1">
        <f t="array" ref="V379">IFERROR(INDEX($C$2:$C$501,SMALL(IF($D$2:$D$501="Germany",ROW($D$2:$D$501)-1),ROW()-1)),"")</f>
        <v/>
      </c>
      <c r="W379" t="str" cm="1">
        <f t="array" ref="W379">IFERROR(INDEX($C$2:$C$501,SMALL(IF($D$2:$D$501="Spain",ROW($D$2:$D$501)-1),ROW()-1)),"")</f>
        <v/>
      </c>
    </row>
    <row r="380" spans="1:23" x14ac:dyDescent="0.35">
      <c r="A380">
        <v>379</v>
      </c>
      <c r="B380" t="s">
        <v>19</v>
      </c>
      <c r="C380">
        <v>605</v>
      </c>
      <c r="D380" t="s">
        <v>23</v>
      </c>
      <c r="E380" t="s">
        <v>26</v>
      </c>
      <c r="F380">
        <v>45</v>
      </c>
      <c r="G380">
        <v>0</v>
      </c>
      <c r="H380">
        <v>25176.02</v>
      </c>
      <c r="I380">
        <v>1</v>
      </c>
      <c r="J380">
        <v>0</v>
      </c>
      <c r="K380">
        <v>1</v>
      </c>
      <c r="L380">
        <v>47799.89</v>
      </c>
      <c r="M380">
        <v>0</v>
      </c>
      <c r="O380" t="str">
        <f t="shared" si="10"/>
        <v/>
      </c>
      <c r="P380">
        <f t="shared" si="11"/>
        <v>47799.89</v>
      </c>
      <c r="R380" t="str">
        <f t="array" ref="R380">IFERROR(INDEX($L$2:$L$501,SMALL(IF($M$2:$M$501=1,ROW($M$2:$M$501)-1),ROW()-1)),"")</f>
        <v/>
      </c>
      <c r="S380" t="str" cm="1">
        <f t="array" ref="S380">IFERROR(INDEX($L$2:$L$501,SMALL(IF($M$2:$M$501=0,ROW($M$2:$M$501)-1),ROW()-1)),"")</f>
        <v/>
      </c>
      <c r="U380" t="str" cm="1">
        <f t="array" ref="U380">IFERROR(INDEX($C$2:$C$501,SMALL(IF($D$2:$D$501="France",ROW($D$2:$D$501)-1),ROW()-1)),"")</f>
        <v/>
      </c>
      <c r="V380" t="str" cm="1">
        <f t="array" ref="V380">IFERROR(INDEX($C$2:$C$501,SMALL(IF($D$2:$D$501="Germany",ROW($D$2:$D$501)-1),ROW()-1)),"")</f>
        <v/>
      </c>
      <c r="W380" t="str" cm="1">
        <f t="array" ref="W380">IFERROR(INDEX($C$2:$C$501,SMALL(IF($D$2:$D$501="Spain",ROW($D$2:$D$501)-1),ROW()-1)),"")</f>
        <v/>
      </c>
    </row>
    <row r="381" spans="1:23" x14ac:dyDescent="0.35">
      <c r="A381">
        <v>380</v>
      </c>
      <c r="B381" t="s">
        <v>19</v>
      </c>
      <c r="C381">
        <v>662</v>
      </c>
      <c r="D381" t="s">
        <v>22</v>
      </c>
      <c r="E381" t="s">
        <v>25</v>
      </c>
      <c r="F381">
        <v>24</v>
      </c>
      <c r="G381">
        <v>3</v>
      </c>
      <c r="H381">
        <v>148964.49</v>
      </c>
      <c r="I381">
        <v>1</v>
      </c>
      <c r="J381">
        <v>1</v>
      </c>
      <c r="K381">
        <v>0</v>
      </c>
      <c r="L381">
        <v>134929.35</v>
      </c>
      <c r="M381">
        <v>1</v>
      </c>
      <c r="O381">
        <f t="shared" si="10"/>
        <v>134929.35</v>
      </c>
      <c r="P381" t="str">
        <f t="shared" si="11"/>
        <v/>
      </c>
      <c r="R381" t="str">
        <f t="array" ref="R381">IFERROR(INDEX($L$2:$L$501,SMALL(IF($M$2:$M$501=1,ROW($M$2:$M$501)-1),ROW()-1)),"")</f>
        <v/>
      </c>
      <c r="S381" t="str" cm="1">
        <f t="array" ref="S381">IFERROR(INDEX($L$2:$L$501,SMALL(IF($M$2:$M$501=0,ROW($M$2:$M$501)-1),ROW()-1)),"")</f>
        <v/>
      </c>
      <c r="U381" t="str" cm="1">
        <f t="array" ref="U381">IFERROR(INDEX($C$2:$C$501,SMALL(IF($D$2:$D$501="France",ROW($D$2:$D$501)-1),ROW()-1)),"")</f>
        <v/>
      </c>
      <c r="V381" t="str" cm="1">
        <f t="array" ref="V381">IFERROR(INDEX($C$2:$C$501,SMALL(IF($D$2:$D$501="Germany",ROW($D$2:$D$501)-1),ROW()-1)),"")</f>
        <v/>
      </c>
      <c r="W381" t="str" cm="1">
        <f t="array" ref="W381">IFERROR(INDEX($C$2:$C$501,SMALL(IF($D$2:$D$501="Spain",ROW($D$2:$D$501)-1),ROW()-1)),"")</f>
        <v/>
      </c>
    </row>
    <row r="382" spans="1:23" x14ac:dyDescent="0.35">
      <c r="A382">
        <v>381</v>
      </c>
      <c r="B382" t="s">
        <v>15</v>
      </c>
      <c r="C382">
        <v>668</v>
      </c>
      <c r="D382" t="s">
        <v>23</v>
      </c>
      <c r="E382" t="s">
        <v>26</v>
      </c>
      <c r="F382">
        <v>25</v>
      </c>
      <c r="G382">
        <v>10</v>
      </c>
      <c r="H382">
        <v>65557.83</v>
      </c>
      <c r="I382">
        <v>1</v>
      </c>
      <c r="J382">
        <v>1</v>
      </c>
      <c r="K382">
        <v>1</v>
      </c>
      <c r="L382">
        <v>119298.33</v>
      </c>
      <c r="M382">
        <v>1</v>
      </c>
      <c r="O382">
        <f t="shared" si="10"/>
        <v>119298.33</v>
      </c>
      <c r="P382" t="str">
        <f t="shared" si="11"/>
        <v/>
      </c>
      <c r="R382" t="str">
        <f t="array" ref="R382">IFERROR(INDEX($L$2:$L$501,SMALL(IF($M$2:$M$501=1,ROW($M$2:$M$501)-1),ROW()-1)),"")</f>
        <v/>
      </c>
      <c r="S382" t="str" cm="1">
        <f t="array" ref="S382">IFERROR(INDEX($L$2:$L$501,SMALL(IF($M$2:$M$501=0,ROW($M$2:$M$501)-1),ROW()-1)),"")</f>
        <v/>
      </c>
      <c r="U382" t="str" cm="1">
        <f t="array" ref="U382">IFERROR(INDEX($C$2:$C$501,SMALL(IF($D$2:$D$501="France",ROW($D$2:$D$501)-1),ROW()-1)),"")</f>
        <v/>
      </c>
      <c r="V382" t="str" cm="1">
        <f t="array" ref="V382">IFERROR(INDEX($C$2:$C$501,SMALL(IF($D$2:$D$501="Germany",ROW($D$2:$D$501)-1),ROW()-1)),"")</f>
        <v/>
      </c>
      <c r="W382" t="str" cm="1">
        <f t="array" ref="W382">IFERROR(INDEX($C$2:$C$501,SMALL(IF($D$2:$D$501="Spain",ROW($D$2:$D$501)-1),ROW()-1)),"")</f>
        <v/>
      </c>
    </row>
    <row r="383" spans="1:23" x14ac:dyDescent="0.35">
      <c r="A383">
        <v>382</v>
      </c>
      <c r="B383" t="s">
        <v>16</v>
      </c>
      <c r="C383">
        <v>790</v>
      </c>
      <c r="D383" t="s">
        <v>23</v>
      </c>
      <c r="E383" t="s">
        <v>25</v>
      </c>
      <c r="F383">
        <v>71</v>
      </c>
      <c r="G383">
        <v>4</v>
      </c>
      <c r="H383">
        <v>7503.74</v>
      </c>
      <c r="I383">
        <v>3</v>
      </c>
      <c r="J383">
        <v>1</v>
      </c>
      <c r="K383">
        <v>1</v>
      </c>
      <c r="L383">
        <v>111705.43</v>
      </c>
      <c r="M383">
        <v>1</v>
      </c>
      <c r="O383">
        <f t="shared" si="10"/>
        <v>111705.43</v>
      </c>
      <c r="P383" t="str">
        <f t="shared" si="11"/>
        <v/>
      </c>
      <c r="R383" t="str">
        <f t="array" ref="R383">IFERROR(INDEX($L$2:$L$501,SMALL(IF($M$2:$M$501=1,ROW($M$2:$M$501)-1),ROW()-1)),"")</f>
        <v/>
      </c>
      <c r="S383" t="str" cm="1">
        <f t="array" ref="S383">IFERROR(INDEX($L$2:$L$501,SMALL(IF($M$2:$M$501=0,ROW($M$2:$M$501)-1),ROW()-1)),"")</f>
        <v/>
      </c>
      <c r="U383" t="str" cm="1">
        <f t="array" ref="U383">IFERROR(INDEX($C$2:$C$501,SMALL(IF($D$2:$D$501="France",ROW($D$2:$D$501)-1),ROW()-1)),"")</f>
        <v/>
      </c>
      <c r="V383" t="str" cm="1">
        <f t="array" ref="V383">IFERROR(INDEX($C$2:$C$501,SMALL(IF($D$2:$D$501="Germany",ROW($D$2:$D$501)-1),ROW()-1)),"")</f>
        <v/>
      </c>
      <c r="W383" t="str" cm="1">
        <f t="array" ref="W383">IFERROR(INDEX($C$2:$C$501,SMALL(IF($D$2:$D$501="Spain",ROW($D$2:$D$501)-1),ROW()-1)),"")</f>
        <v/>
      </c>
    </row>
    <row r="384" spans="1:23" x14ac:dyDescent="0.35">
      <c r="A384">
        <v>383</v>
      </c>
      <c r="B384" t="s">
        <v>21</v>
      </c>
      <c r="C384">
        <v>398</v>
      </c>
      <c r="D384" t="s">
        <v>24</v>
      </c>
      <c r="E384" t="s">
        <v>26</v>
      </c>
      <c r="F384">
        <v>44</v>
      </c>
      <c r="G384">
        <v>1</v>
      </c>
      <c r="H384">
        <v>27423.79</v>
      </c>
      <c r="I384">
        <v>1</v>
      </c>
      <c r="J384">
        <v>1</v>
      </c>
      <c r="K384">
        <v>1</v>
      </c>
      <c r="L384">
        <v>103883.72</v>
      </c>
      <c r="M384">
        <v>1</v>
      </c>
      <c r="O384">
        <f t="shared" si="10"/>
        <v>103883.72</v>
      </c>
      <c r="P384" t="str">
        <f t="shared" si="11"/>
        <v/>
      </c>
      <c r="R384" t="str">
        <f t="array" ref="R384">IFERROR(INDEX($L$2:$L$501,SMALL(IF($M$2:$M$501=1,ROW($M$2:$M$501)-1),ROW()-1)),"")</f>
        <v/>
      </c>
      <c r="S384" t="str" cm="1">
        <f t="array" ref="S384">IFERROR(INDEX($L$2:$L$501,SMALL(IF($M$2:$M$501=0,ROW($M$2:$M$501)-1),ROW()-1)),"")</f>
        <v/>
      </c>
      <c r="U384" t="str" cm="1">
        <f t="array" ref="U384">IFERROR(INDEX($C$2:$C$501,SMALL(IF($D$2:$D$501="France",ROW($D$2:$D$501)-1),ROW()-1)),"")</f>
        <v/>
      </c>
      <c r="V384" t="str" cm="1">
        <f t="array" ref="V384">IFERROR(INDEX($C$2:$C$501,SMALL(IF($D$2:$D$501="Germany",ROW($D$2:$D$501)-1),ROW()-1)),"")</f>
        <v/>
      </c>
      <c r="W384" t="str" cm="1">
        <f t="array" ref="W384">IFERROR(INDEX($C$2:$C$501,SMALL(IF($D$2:$D$501="Spain",ROW($D$2:$D$501)-1),ROW()-1)),"")</f>
        <v/>
      </c>
    </row>
    <row r="385" spans="1:23" x14ac:dyDescent="0.35">
      <c r="A385">
        <v>384</v>
      </c>
      <c r="B385" t="s">
        <v>16</v>
      </c>
      <c r="C385">
        <v>495</v>
      </c>
      <c r="D385" t="s">
        <v>22</v>
      </c>
      <c r="E385" t="s">
        <v>25</v>
      </c>
      <c r="F385">
        <v>55</v>
      </c>
      <c r="G385">
        <v>8</v>
      </c>
      <c r="H385">
        <v>174803.79</v>
      </c>
      <c r="I385">
        <v>1</v>
      </c>
      <c r="J385">
        <v>1</v>
      </c>
      <c r="K385">
        <v>1</v>
      </c>
      <c r="L385">
        <v>82707.83</v>
      </c>
      <c r="M385">
        <v>1</v>
      </c>
      <c r="O385">
        <f t="shared" si="10"/>
        <v>82707.83</v>
      </c>
      <c r="P385" t="str">
        <f t="shared" si="11"/>
        <v/>
      </c>
      <c r="R385" t="str">
        <f t="array" ref="R385">IFERROR(INDEX($L$2:$L$501,SMALL(IF($M$2:$M$501=1,ROW($M$2:$M$501)-1),ROW()-1)),"")</f>
        <v/>
      </c>
      <c r="S385" t="str" cm="1">
        <f t="array" ref="S385">IFERROR(INDEX($L$2:$L$501,SMALL(IF($M$2:$M$501=0,ROW($M$2:$M$501)-1),ROW()-1)),"")</f>
        <v/>
      </c>
      <c r="U385" t="str" cm="1">
        <f t="array" ref="U385">IFERROR(INDEX($C$2:$C$501,SMALL(IF($D$2:$D$501="France",ROW($D$2:$D$501)-1),ROW()-1)),"")</f>
        <v/>
      </c>
      <c r="V385" t="str" cm="1">
        <f t="array" ref="V385">IFERROR(INDEX($C$2:$C$501,SMALL(IF($D$2:$D$501="Germany",ROW($D$2:$D$501)-1),ROW()-1)),"")</f>
        <v/>
      </c>
      <c r="W385" t="str" cm="1">
        <f t="array" ref="W385">IFERROR(INDEX($C$2:$C$501,SMALL(IF($D$2:$D$501="Spain",ROW($D$2:$D$501)-1),ROW()-1)),"")</f>
        <v/>
      </c>
    </row>
    <row r="386" spans="1:23" x14ac:dyDescent="0.35">
      <c r="A386">
        <v>385</v>
      </c>
      <c r="B386" t="s">
        <v>19</v>
      </c>
      <c r="C386">
        <v>723</v>
      </c>
      <c r="D386" t="s">
        <v>22</v>
      </c>
      <c r="E386" t="s">
        <v>25</v>
      </c>
      <c r="F386">
        <v>67</v>
      </c>
      <c r="G386">
        <v>2</v>
      </c>
      <c r="H386">
        <v>222765.58</v>
      </c>
      <c r="I386">
        <v>2</v>
      </c>
      <c r="J386">
        <v>1</v>
      </c>
      <c r="K386">
        <v>1</v>
      </c>
      <c r="L386">
        <v>60737.81</v>
      </c>
      <c r="M386">
        <v>0</v>
      </c>
      <c r="O386" t="str">
        <f t="shared" si="10"/>
        <v/>
      </c>
      <c r="P386">
        <f t="shared" si="11"/>
        <v>60737.81</v>
      </c>
      <c r="R386" t="str">
        <f t="array" ref="R386">IFERROR(INDEX($L$2:$L$501,SMALL(IF($M$2:$M$501=1,ROW($M$2:$M$501)-1),ROW()-1)),"")</f>
        <v/>
      </c>
      <c r="S386" t="str" cm="1">
        <f t="array" ref="S386">IFERROR(INDEX($L$2:$L$501,SMALL(IF($M$2:$M$501=0,ROW($M$2:$M$501)-1),ROW()-1)),"")</f>
        <v/>
      </c>
      <c r="U386" t="str" cm="1">
        <f t="array" ref="U386">IFERROR(INDEX($C$2:$C$501,SMALL(IF($D$2:$D$501="France",ROW($D$2:$D$501)-1),ROW()-1)),"")</f>
        <v/>
      </c>
      <c r="V386" t="str" cm="1">
        <f t="array" ref="V386">IFERROR(INDEX($C$2:$C$501,SMALL(IF($D$2:$D$501="Germany",ROW($D$2:$D$501)-1),ROW()-1)),"")</f>
        <v/>
      </c>
      <c r="W386" t="str" cm="1">
        <f t="array" ref="W386">IFERROR(INDEX($C$2:$C$501,SMALL(IF($D$2:$D$501="Spain",ROW($D$2:$D$501)-1),ROW()-1)),"")</f>
        <v/>
      </c>
    </row>
    <row r="387" spans="1:23" x14ac:dyDescent="0.35">
      <c r="A387">
        <v>386</v>
      </c>
      <c r="B387" t="s">
        <v>13</v>
      </c>
      <c r="C387">
        <v>791</v>
      </c>
      <c r="D387" t="s">
        <v>22</v>
      </c>
      <c r="E387" t="s">
        <v>25</v>
      </c>
      <c r="F387">
        <v>38</v>
      </c>
      <c r="G387">
        <v>8</v>
      </c>
      <c r="H387">
        <v>13669.44</v>
      </c>
      <c r="I387">
        <v>2</v>
      </c>
      <c r="J387">
        <v>1</v>
      </c>
      <c r="K387">
        <v>1</v>
      </c>
      <c r="L387">
        <v>64850.98</v>
      </c>
      <c r="M387">
        <v>0</v>
      </c>
      <c r="O387" t="str">
        <f t="shared" ref="O387:O450" si="12">IF($M387=1,$L387,"")</f>
        <v/>
      </c>
      <c r="P387">
        <f t="shared" ref="P387:P450" si="13">IF($M387=0,$L387,"")</f>
        <v>64850.98</v>
      </c>
      <c r="R387" t="str">
        <f t="array" ref="R387">IFERROR(INDEX($L$2:$L$501,SMALL(IF($M$2:$M$501=1,ROW($M$2:$M$501)-1),ROW()-1)),"")</f>
        <v/>
      </c>
      <c r="S387" t="str" cm="1">
        <f t="array" ref="S387">IFERROR(INDEX($L$2:$L$501,SMALL(IF($M$2:$M$501=0,ROW($M$2:$M$501)-1),ROW()-1)),"")</f>
        <v/>
      </c>
      <c r="U387" t="str" cm="1">
        <f t="array" ref="U387">IFERROR(INDEX($C$2:$C$501,SMALL(IF($D$2:$D$501="France",ROW($D$2:$D$501)-1),ROW()-1)),"")</f>
        <v/>
      </c>
      <c r="V387" t="str" cm="1">
        <f t="array" ref="V387">IFERROR(INDEX($C$2:$C$501,SMALL(IF($D$2:$D$501="Germany",ROW($D$2:$D$501)-1),ROW()-1)),"")</f>
        <v/>
      </c>
      <c r="W387" t="str" cm="1">
        <f t="array" ref="W387">IFERROR(INDEX($C$2:$C$501,SMALL(IF($D$2:$D$501="Spain",ROW($D$2:$D$501)-1),ROW()-1)),"")</f>
        <v/>
      </c>
    </row>
    <row r="388" spans="1:23" x14ac:dyDescent="0.35">
      <c r="A388">
        <v>387</v>
      </c>
      <c r="B388" t="s">
        <v>14</v>
      </c>
      <c r="C388">
        <v>359</v>
      </c>
      <c r="D388" t="s">
        <v>23</v>
      </c>
      <c r="E388" t="s">
        <v>26</v>
      </c>
      <c r="F388">
        <v>74</v>
      </c>
      <c r="G388">
        <v>9</v>
      </c>
      <c r="H388">
        <v>70359.16</v>
      </c>
      <c r="I388">
        <v>3</v>
      </c>
      <c r="J388">
        <v>0</v>
      </c>
      <c r="K388">
        <v>1</v>
      </c>
      <c r="L388">
        <v>21108.79</v>
      </c>
      <c r="M388">
        <v>0</v>
      </c>
      <c r="O388" t="str">
        <f t="shared" si="12"/>
        <v/>
      </c>
      <c r="P388">
        <f t="shared" si="13"/>
        <v>21108.79</v>
      </c>
      <c r="R388" t="str">
        <f t="array" ref="R388">IFERROR(INDEX($L$2:$L$501,SMALL(IF($M$2:$M$501=1,ROW($M$2:$M$501)-1),ROW()-1)),"")</f>
        <v/>
      </c>
      <c r="S388" t="str" cm="1">
        <f t="array" ref="S388">IFERROR(INDEX($L$2:$L$501,SMALL(IF($M$2:$M$501=0,ROW($M$2:$M$501)-1),ROW()-1)),"")</f>
        <v/>
      </c>
      <c r="U388" t="str" cm="1">
        <f t="array" ref="U388">IFERROR(INDEX($C$2:$C$501,SMALL(IF($D$2:$D$501="France",ROW($D$2:$D$501)-1),ROW()-1)),"")</f>
        <v/>
      </c>
      <c r="V388" t="str" cm="1">
        <f t="array" ref="V388">IFERROR(INDEX($C$2:$C$501,SMALL(IF($D$2:$D$501="Germany",ROW($D$2:$D$501)-1),ROW()-1)),"")</f>
        <v/>
      </c>
      <c r="W388" t="str" cm="1">
        <f t="array" ref="W388">IFERROR(INDEX($C$2:$C$501,SMALL(IF($D$2:$D$501="Spain",ROW($D$2:$D$501)-1),ROW()-1)),"")</f>
        <v/>
      </c>
    </row>
    <row r="389" spans="1:23" x14ac:dyDescent="0.35">
      <c r="A389">
        <v>388</v>
      </c>
      <c r="B389" t="s">
        <v>20</v>
      </c>
      <c r="C389">
        <v>842</v>
      </c>
      <c r="D389" t="s">
        <v>23</v>
      </c>
      <c r="E389" t="s">
        <v>26</v>
      </c>
      <c r="F389">
        <v>79</v>
      </c>
      <c r="G389">
        <v>8</v>
      </c>
      <c r="H389">
        <v>99607.93</v>
      </c>
      <c r="I389">
        <v>1</v>
      </c>
      <c r="J389">
        <v>1</v>
      </c>
      <c r="K389">
        <v>1</v>
      </c>
      <c r="L389">
        <v>134066.89000000001</v>
      </c>
      <c r="M389">
        <v>0</v>
      </c>
      <c r="O389" t="str">
        <f t="shared" si="12"/>
        <v/>
      </c>
      <c r="P389">
        <f t="shared" si="13"/>
        <v>134066.89000000001</v>
      </c>
      <c r="R389" t="str">
        <f t="array" ref="R389">IFERROR(INDEX($L$2:$L$501,SMALL(IF($M$2:$M$501=1,ROW($M$2:$M$501)-1),ROW()-1)),"")</f>
        <v/>
      </c>
      <c r="S389" t="str" cm="1">
        <f t="array" ref="S389">IFERROR(INDEX($L$2:$L$501,SMALL(IF($M$2:$M$501=0,ROW($M$2:$M$501)-1),ROW()-1)),"")</f>
        <v/>
      </c>
      <c r="U389" t="str" cm="1">
        <f t="array" ref="U389">IFERROR(INDEX($C$2:$C$501,SMALL(IF($D$2:$D$501="France",ROW($D$2:$D$501)-1),ROW()-1)),"")</f>
        <v/>
      </c>
      <c r="V389" t="str" cm="1">
        <f t="array" ref="V389">IFERROR(INDEX($C$2:$C$501,SMALL(IF($D$2:$D$501="Germany",ROW($D$2:$D$501)-1),ROW()-1)),"")</f>
        <v/>
      </c>
      <c r="W389" t="str" cm="1">
        <f t="array" ref="W389">IFERROR(INDEX($C$2:$C$501,SMALL(IF($D$2:$D$501="Spain",ROW($D$2:$D$501)-1),ROW()-1)),"")</f>
        <v/>
      </c>
    </row>
    <row r="390" spans="1:23" x14ac:dyDescent="0.35">
      <c r="A390">
        <v>389</v>
      </c>
      <c r="B390" t="s">
        <v>18</v>
      </c>
      <c r="C390">
        <v>540</v>
      </c>
      <c r="D390" t="s">
        <v>24</v>
      </c>
      <c r="E390" t="s">
        <v>26</v>
      </c>
      <c r="F390">
        <v>73</v>
      </c>
      <c r="G390">
        <v>7</v>
      </c>
      <c r="H390">
        <v>244670.66</v>
      </c>
      <c r="I390">
        <v>2</v>
      </c>
      <c r="J390">
        <v>1</v>
      </c>
      <c r="K390">
        <v>1</v>
      </c>
      <c r="L390">
        <v>12942.78</v>
      </c>
      <c r="M390">
        <v>0</v>
      </c>
      <c r="O390" t="str">
        <f t="shared" si="12"/>
        <v/>
      </c>
      <c r="P390">
        <f t="shared" si="13"/>
        <v>12942.78</v>
      </c>
      <c r="R390" t="str">
        <f t="array" ref="R390">IFERROR(INDEX($L$2:$L$501,SMALL(IF($M$2:$M$501=1,ROW($M$2:$M$501)-1),ROW()-1)),"")</f>
        <v/>
      </c>
      <c r="S390" t="str" cm="1">
        <f t="array" ref="S390">IFERROR(INDEX($L$2:$L$501,SMALL(IF($M$2:$M$501=0,ROW($M$2:$M$501)-1),ROW()-1)),"")</f>
        <v/>
      </c>
      <c r="U390" t="str" cm="1">
        <f t="array" ref="U390">IFERROR(INDEX($C$2:$C$501,SMALL(IF($D$2:$D$501="France",ROW($D$2:$D$501)-1),ROW()-1)),"")</f>
        <v/>
      </c>
      <c r="V390" t="str" cm="1">
        <f t="array" ref="V390">IFERROR(INDEX($C$2:$C$501,SMALL(IF($D$2:$D$501="Germany",ROW($D$2:$D$501)-1),ROW()-1)),"")</f>
        <v/>
      </c>
      <c r="W390" t="str" cm="1">
        <f t="array" ref="W390">IFERROR(INDEX($C$2:$C$501,SMALL(IF($D$2:$D$501="Spain",ROW($D$2:$D$501)-1),ROW()-1)),"")</f>
        <v/>
      </c>
    </row>
    <row r="391" spans="1:23" x14ac:dyDescent="0.35">
      <c r="A391">
        <v>390</v>
      </c>
      <c r="B391" t="s">
        <v>21</v>
      </c>
      <c r="C391">
        <v>429</v>
      </c>
      <c r="D391" t="s">
        <v>24</v>
      </c>
      <c r="E391" t="s">
        <v>26</v>
      </c>
      <c r="F391">
        <v>41</v>
      </c>
      <c r="G391">
        <v>9</v>
      </c>
      <c r="H391">
        <v>110666.99</v>
      </c>
      <c r="I391">
        <v>1</v>
      </c>
      <c r="J391">
        <v>0</v>
      </c>
      <c r="K391">
        <v>1</v>
      </c>
      <c r="L391">
        <v>128261.18</v>
      </c>
      <c r="M391">
        <v>1</v>
      </c>
      <c r="O391">
        <f t="shared" si="12"/>
        <v>128261.18</v>
      </c>
      <c r="P391" t="str">
        <f t="shared" si="13"/>
        <v/>
      </c>
      <c r="R391" t="str">
        <f t="array" ref="R391">IFERROR(INDEX($L$2:$L$501,SMALL(IF($M$2:$M$501=1,ROW($M$2:$M$501)-1),ROW()-1)),"")</f>
        <v/>
      </c>
      <c r="S391" t="str" cm="1">
        <f t="array" ref="S391">IFERROR(INDEX($L$2:$L$501,SMALL(IF($M$2:$M$501=0,ROW($M$2:$M$501)-1),ROW()-1)),"")</f>
        <v/>
      </c>
      <c r="U391" t="str" cm="1">
        <f t="array" ref="U391">IFERROR(INDEX($C$2:$C$501,SMALL(IF($D$2:$D$501="France",ROW($D$2:$D$501)-1),ROW()-1)),"")</f>
        <v/>
      </c>
      <c r="V391" t="str" cm="1">
        <f t="array" ref="V391">IFERROR(INDEX($C$2:$C$501,SMALL(IF($D$2:$D$501="Germany",ROW($D$2:$D$501)-1),ROW()-1)),"")</f>
        <v/>
      </c>
      <c r="W391" t="str" cm="1">
        <f t="array" ref="W391">IFERROR(INDEX($C$2:$C$501,SMALL(IF($D$2:$D$501="Spain",ROW($D$2:$D$501)-1),ROW()-1)),"")</f>
        <v/>
      </c>
    </row>
    <row r="392" spans="1:23" x14ac:dyDescent="0.35">
      <c r="A392">
        <v>391</v>
      </c>
      <c r="B392" t="s">
        <v>18</v>
      </c>
      <c r="C392">
        <v>580</v>
      </c>
      <c r="D392" t="s">
        <v>24</v>
      </c>
      <c r="E392" t="s">
        <v>26</v>
      </c>
      <c r="F392">
        <v>75</v>
      </c>
      <c r="G392">
        <v>3</v>
      </c>
      <c r="H392">
        <v>206215.22</v>
      </c>
      <c r="I392">
        <v>1</v>
      </c>
      <c r="J392">
        <v>0</v>
      </c>
      <c r="K392">
        <v>1</v>
      </c>
      <c r="L392">
        <v>73777.070000000007</v>
      </c>
      <c r="M392">
        <v>1</v>
      </c>
      <c r="O392">
        <f t="shared" si="12"/>
        <v>73777.070000000007</v>
      </c>
      <c r="P392" t="str">
        <f t="shared" si="13"/>
        <v/>
      </c>
      <c r="R392" t="str">
        <f t="array" ref="R392">IFERROR(INDEX($L$2:$L$501,SMALL(IF($M$2:$M$501=1,ROW($M$2:$M$501)-1),ROW()-1)),"")</f>
        <v/>
      </c>
      <c r="S392" t="str" cm="1">
        <f t="array" ref="S392">IFERROR(INDEX($L$2:$L$501,SMALL(IF($M$2:$M$501=0,ROW($M$2:$M$501)-1),ROW()-1)),"")</f>
        <v/>
      </c>
      <c r="U392" t="str" cm="1">
        <f t="array" ref="U392">IFERROR(INDEX($C$2:$C$501,SMALL(IF($D$2:$D$501="France",ROW($D$2:$D$501)-1),ROW()-1)),"")</f>
        <v/>
      </c>
      <c r="V392" t="str" cm="1">
        <f t="array" ref="V392">IFERROR(INDEX($C$2:$C$501,SMALL(IF($D$2:$D$501="Germany",ROW($D$2:$D$501)-1),ROW()-1)),"")</f>
        <v/>
      </c>
      <c r="W392" t="str" cm="1">
        <f t="array" ref="W392">IFERROR(INDEX($C$2:$C$501,SMALL(IF($D$2:$D$501="Spain",ROW($D$2:$D$501)-1),ROW()-1)),"")</f>
        <v/>
      </c>
    </row>
    <row r="393" spans="1:23" x14ac:dyDescent="0.35">
      <c r="A393">
        <v>392</v>
      </c>
      <c r="B393" t="s">
        <v>12</v>
      </c>
      <c r="C393">
        <v>556</v>
      </c>
      <c r="D393" t="s">
        <v>23</v>
      </c>
      <c r="E393" t="s">
        <v>25</v>
      </c>
      <c r="F393">
        <v>27</v>
      </c>
      <c r="G393">
        <v>6</v>
      </c>
      <c r="H393">
        <v>70279.97</v>
      </c>
      <c r="I393">
        <v>4</v>
      </c>
      <c r="J393">
        <v>0</v>
      </c>
      <c r="K393">
        <v>0</v>
      </c>
      <c r="L393">
        <v>35799.879999999997</v>
      </c>
      <c r="M393">
        <v>1</v>
      </c>
      <c r="O393">
        <f t="shared" si="12"/>
        <v>35799.879999999997</v>
      </c>
      <c r="P393" t="str">
        <f t="shared" si="13"/>
        <v/>
      </c>
      <c r="R393" t="str">
        <f t="array" ref="R393">IFERROR(INDEX($L$2:$L$501,SMALL(IF($M$2:$M$501=1,ROW($M$2:$M$501)-1),ROW()-1)),"")</f>
        <v/>
      </c>
      <c r="S393" t="str" cm="1">
        <f t="array" ref="S393">IFERROR(INDEX($L$2:$L$501,SMALL(IF($M$2:$M$501=0,ROW($M$2:$M$501)-1),ROW()-1)),"")</f>
        <v/>
      </c>
      <c r="U393" t="str" cm="1">
        <f t="array" ref="U393">IFERROR(INDEX($C$2:$C$501,SMALL(IF($D$2:$D$501="France",ROW($D$2:$D$501)-1),ROW()-1)),"")</f>
        <v/>
      </c>
      <c r="V393" t="str" cm="1">
        <f t="array" ref="V393">IFERROR(INDEX($C$2:$C$501,SMALL(IF($D$2:$D$501="Germany",ROW($D$2:$D$501)-1),ROW()-1)),"")</f>
        <v/>
      </c>
      <c r="W393" t="str" cm="1">
        <f t="array" ref="W393">IFERROR(INDEX($C$2:$C$501,SMALL(IF($D$2:$D$501="Spain",ROW($D$2:$D$501)-1),ROW()-1)),"")</f>
        <v/>
      </c>
    </row>
    <row r="394" spans="1:23" x14ac:dyDescent="0.35">
      <c r="A394">
        <v>393</v>
      </c>
      <c r="B394" t="s">
        <v>13</v>
      </c>
      <c r="C394">
        <v>767</v>
      </c>
      <c r="D394" t="s">
        <v>24</v>
      </c>
      <c r="E394" t="s">
        <v>26</v>
      </c>
      <c r="F394">
        <v>18</v>
      </c>
      <c r="G394">
        <v>3</v>
      </c>
      <c r="H394">
        <v>117042.43</v>
      </c>
      <c r="I394">
        <v>1</v>
      </c>
      <c r="J394">
        <v>0</v>
      </c>
      <c r="K394">
        <v>0</v>
      </c>
      <c r="L394">
        <v>97218.44</v>
      </c>
      <c r="M394">
        <v>1</v>
      </c>
      <c r="O394">
        <f t="shared" si="12"/>
        <v>97218.44</v>
      </c>
      <c r="P394" t="str">
        <f t="shared" si="13"/>
        <v/>
      </c>
      <c r="R394" t="str">
        <f t="array" ref="R394">IFERROR(INDEX($L$2:$L$501,SMALL(IF($M$2:$M$501=1,ROW($M$2:$M$501)-1),ROW()-1)),"")</f>
        <v/>
      </c>
      <c r="S394" t="str" cm="1">
        <f t="array" ref="S394">IFERROR(INDEX($L$2:$L$501,SMALL(IF($M$2:$M$501=0,ROW($M$2:$M$501)-1),ROW()-1)),"")</f>
        <v/>
      </c>
      <c r="U394" t="str" cm="1">
        <f t="array" ref="U394">IFERROR(INDEX($C$2:$C$501,SMALL(IF($D$2:$D$501="France",ROW($D$2:$D$501)-1),ROW()-1)),"")</f>
        <v/>
      </c>
      <c r="V394" t="str" cm="1">
        <f t="array" ref="V394">IFERROR(INDEX($C$2:$C$501,SMALL(IF($D$2:$D$501="Germany",ROW($D$2:$D$501)-1),ROW()-1)),"")</f>
        <v/>
      </c>
      <c r="W394" t="str" cm="1">
        <f t="array" ref="W394">IFERROR(INDEX($C$2:$C$501,SMALL(IF($D$2:$D$501="Spain",ROW($D$2:$D$501)-1),ROW()-1)),"")</f>
        <v/>
      </c>
    </row>
    <row r="395" spans="1:23" x14ac:dyDescent="0.35">
      <c r="A395">
        <v>394</v>
      </c>
      <c r="B395" t="s">
        <v>14</v>
      </c>
      <c r="C395">
        <v>738</v>
      </c>
      <c r="D395" t="s">
        <v>22</v>
      </c>
      <c r="E395" t="s">
        <v>26</v>
      </c>
      <c r="F395">
        <v>37</v>
      </c>
      <c r="G395">
        <v>7</v>
      </c>
      <c r="H395">
        <v>206465.41</v>
      </c>
      <c r="I395">
        <v>2</v>
      </c>
      <c r="J395">
        <v>1</v>
      </c>
      <c r="K395">
        <v>1</v>
      </c>
      <c r="L395">
        <v>81839.69</v>
      </c>
      <c r="M395">
        <v>0</v>
      </c>
      <c r="O395" t="str">
        <f t="shared" si="12"/>
        <v/>
      </c>
      <c r="P395">
        <f t="shared" si="13"/>
        <v>81839.69</v>
      </c>
      <c r="R395" t="str">
        <f t="array" ref="R395">IFERROR(INDEX($L$2:$L$501,SMALL(IF($M$2:$M$501=1,ROW($M$2:$M$501)-1),ROW()-1)),"")</f>
        <v/>
      </c>
      <c r="S395" t="str" cm="1">
        <f t="array" ref="S395">IFERROR(INDEX($L$2:$L$501,SMALL(IF($M$2:$M$501=0,ROW($M$2:$M$501)-1),ROW()-1)),"")</f>
        <v/>
      </c>
      <c r="U395" t="str" cm="1">
        <f t="array" ref="U395">IFERROR(INDEX($C$2:$C$501,SMALL(IF($D$2:$D$501="France",ROW($D$2:$D$501)-1),ROW()-1)),"")</f>
        <v/>
      </c>
      <c r="V395" t="str" cm="1">
        <f t="array" ref="V395">IFERROR(INDEX($C$2:$C$501,SMALL(IF($D$2:$D$501="Germany",ROW($D$2:$D$501)-1),ROW()-1)),"")</f>
        <v/>
      </c>
      <c r="W395" t="str" cm="1">
        <f t="array" ref="W395">IFERROR(INDEX($C$2:$C$501,SMALL(IF($D$2:$D$501="Spain",ROW($D$2:$D$501)-1),ROW()-1)),"")</f>
        <v/>
      </c>
    </row>
    <row r="396" spans="1:23" x14ac:dyDescent="0.35">
      <c r="A396">
        <v>395</v>
      </c>
      <c r="B396" t="s">
        <v>21</v>
      </c>
      <c r="C396">
        <v>750</v>
      </c>
      <c r="D396" t="s">
        <v>24</v>
      </c>
      <c r="E396" t="s">
        <v>26</v>
      </c>
      <c r="F396">
        <v>89</v>
      </c>
      <c r="G396">
        <v>7</v>
      </c>
      <c r="H396">
        <v>192173.02</v>
      </c>
      <c r="I396">
        <v>4</v>
      </c>
      <c r="J396">
        <v>0</v>
      </c>
      <c r="K396">
        <v>1</v>
      </c>
      <c r="L396">
        <v>99695.37</v>
      </c>
      <c r="M396">
        <v>1</v>
      </c>
      <c r="O396">
        <f t="shared" si="12"/>
        <v>99695.37</v>
      </c>
      <c r="P396" t="str">
        <f t="shared" si="13"/>
        <v/>
      </c>
      <c r="R396" t="str">
        <f t="array" ref="R396">IFERROR(INDEX($L$2:$L$501,SMALL(IF($M$2:$M$501=1,ROW($M$2:$M$501)-1),ROW()-1)),"")</f>
        <v/>
      </c>
      <c r="S396" t="str" cm="1">
        <f t="array" ref="S396">IFERROR(INDEX($L$2:$L$501,SMALL(IF($M$2:$M$501=0,ROW($M$2:$M$501)-1),ROW()-1)),"")</f>
        <v/>
      </c>
      <c r="U396" t="str" cm="1">
        <f t="array" ref="U396">IFERROR(INDEX($C$2:$C$501,SMALL(IF($D$2:$D$501="France",ROW($D$2:$D$501)-1),ROW()-1)),"")</f>
        <v/>
      </c>
      <c r="V396" t="str" cm="1">
        <f t="array" ref="V396">IFERROR(INDEX($C$2:$C$501,SMALL(IF($D$2:$D$501="Germany",ROW($D$2:$D$501)-1),ROW()-1)),"")</f>
        <v/>
      </c>
      <c r="W396" t="str" cm="1">
        <f t="array" ref="W396">IFERROR(INDEX($C$2:$C$501,SMALL(IF($D$2:$D$501="Spain",ROW($D$2:$D$501)-1),ROW()-1)),"")</f>
        <v/>
      </c>
    </row>
    <row r="397" spans="1:23" x14ac:dyDescent="0.35">
      <c r="A397">
        <v>396</v>
      </c>
      <c r="B397" t="s">
        <v>18</v>
      </c>
      <c r="C397">
        <v>578</v>
      </c>
      <c r="D397" t="s">
        <v>23</v>
      </c>
      <c r="E397" t="s">
        <v>25</v>
      </c>
      <c r="F397">
        <v>68</v>
      </c>
      <c r="G397">
        <v>2</v>
      </c>
      <c r="H397">
        <v>59641.51</v>
      </c>
      <c r="I397">
        <v>4</v>
      </c>
      <c r="J397">
        <v>0</v>
      </c>
      <c r="K397">
        <v>0</v>
      </c>
      <c r="L397">
        <v>61207.9</v>
      </c>
      <c r="M397">
        <v>1</v>
      </c>
      <c r="O397">
        <f t="shared" si="12"/>
        <v>61207.9</v>
      </c>
      <c r="P397" t="str">
        <f t="shared" si="13"/>
        <v/>
      </c>
      <c r="R397" t="str">
        <f t="array" ref="R397">IFERROR(INDEX($L$2:$L$501,SMALL(IF($M$2:$M$501=1,ROW($M$2:$M$501)-1),ROW()-1)),"")</f>
        <v/>
      </c>
      <c r="S397" t="str" cm="1">
        <f t="array" ref="S397">IFERROR(INDEX($L$2:$L$501,SMALL(IF($M$2:$M$501=0,ROW($M$2:$M$501)-1),ROW()-1)),"")</f>
        <v/>
      </c>
      <c r="U397" t="str" cm="1">
        <f t="array" ref="U397">IFERROR(INDEX($C$2:$C$501,SMALL(IF($D$2:$D$501="France",ROW($D$2:$D$501)-1),ROW()-1)),"")</f>
        <v/>
      </c>
      <c r="V397" t="str" cm="1">
        <f t="array" ref="V397">IFERROR(INDEX($C$2:$C$501,SMALL(IF($D$2:$D$501="Germany",ROW($D$2:$D$501)-1),ROW()-1)),"")</f>
        <v/>
      </c>
      <c r="W397" t="str" cm="1">
        <f t="array" ref="W397">IFERROR(INDEX($C$2:$C$501,SMALL(IF($D$2:$D$501="Spain",ROW($D$2:$D$501)-1),ROW()-1)),"")</f>
        <v/>
      </c>
    </row>
    <row r="398" spans="1:23" x14ac:dyDescent="0.35">
      <c r="A398">
        <v>397</v>
      </c>
      <c r="B398" t="s">
        <v>18</v>
      </c>
      <c r="C398">
        <v>677</v>
      </c>
      <c r="D398" t="s">
        <v>24</v>
      </c>
      <c r="E398" t="s">
        <v>26</v>
      </c>
      <c r="F398">
        <v>56</v>
      </c>
      <c r="G398">
        <v>7</v>
      </c>
      <c r="H398">
        <v>63179.37</v>
      </c>
      <c r="I398">
        <v>2</v>
      </c>
      <c r="J398">
        <v>0</v>
      </c>
      <c r="K398">
        <v>1</v>
      </c>
      <c r="L398">
        <v>121798.16</v>
      </c>
      <c r="M398">
        <v>0</v>
      </c>
      <c r="O398" t="str">
        <f t="shared" si="12"/>
        <v/>
      </c>
      <c r="P398">
        <f t="shared" si="13"/>
        <v>121798.16</v>
      </c>
      <c r="R398" t="str">
        <f t="array" ref="R398">IFERROR(INDEX($L$2:$L$501,SMALL(IF($M$2:$M$501=1,ROW($M$2:$M$501)-1),ROW()-1)),"")</f>
        <v/>
      </c>
      <c r="S398" t="str" cm="1">
        <f t="array" ref="S398">IFERROR(INDEX($L$2:$L$501,SMALL(IF($M$2:$M$501=0,ROW($M$2:$M$501)-1),ROW()-1)),"")</f>
        <v/>
      </c>
      <c r="U398" t="str" cm="1">
        <f t="array" ref="U398">IFERROR(INDEX($C$2:$C$501,SMALL(IF($D$2:$D$501="France",ROW($D$2:$D$501)-1),ROW()-1)),"")</f>
        <v/>
      </c>
      <c r="V398" t="str" cm="1">
        <f t="array" ref="V398">IFERROR(INDEX($C$2:$C$501,SMALL(IF($D$2:$D$501="Germany",ROW($D$2:$D$501)-1),ROW()-1)),"")</f>
        <v/>
      </c>
      <c r="W398" t="str" cm="1">
        <f t="array" ref="W398">IFERROR(INDEX($C$2:$C$501,SMALL(IF($D$2:$D$501="Spain",ROW($D$2:$D$501)-1),ROW()-1)),"")</f>
        <v/>
      </c>
    </row>
    <row r="399" spans="1:23" x14ac:dyDescent="0.35">
      <c r="A399">
        <v>398</v>
      </c>
      <c r="B399" t="s">
        <v>18</v>
      </c>
      <c r="C399">
        <v>668</v>
      </c>
      <c r="D399" t="s">
        <v>22</v>
      </c>
      <c r="E399" t="s">
        <v>26</v>
      </c>
      <c r="F399">
        <v>85</v>
      </c>
      <c r="G399">
        <v>8</v>
      </c>
      <c r="H399">
        <v>137118.25</v>
      </c>
      <c r="I399">
        <v>1</v>
      </c>
      <c r="J399">
        <v>1</v>
      </c>
      <c r="K399">
        <v>1</v>
      </c>
      <c r="L399">
        <v>69952.509999999995</v>
      </c>
      <c r="M399">
        <v>1</v>
      </c>
      <c r="O399">
        <f t="shared" si="12"/>
        <v>69952.509999999995</v>
      </c>
      <c r="P399" t="str">
        <f t="shared" si="13"/>
        <v/>
      </c>
      <c r="R399" t="str">
        <f t="array" ref="R399">IFERROR(INDEX($L$2:$L$501,SMALL(IF($M$2:$M$501=1,ROW($M$2:$M$501)-1),ROW()-1)),"")</f>
        <v/>
      </c>
      <c r="S399" t="str" cm="1">
        <f t="array" ref="S399">IFERROR(INDEX($L$2:$L$501,SMALL(IF($M$2:$M$501=0,ROW($M$2:$M$501)-1),ROW()-1)),"")</f>
        <v/>
      </c>
      <c r="U399" t="str" cm="1">
        <f t="array" ref="U399">IFERROR(INDEX($C$2:$C$501,SMALL(IF($D$2:$D$501="France",ROW($D$2:$D$501)-1),ROW()-1)),"")</f>
        <v/>
      </c>
      <c r="V399" t="str" cm="1">
        <f t="array" ref="V399">IFERROR(INDEX($C$2:$C$501,SMALL(IF($D$2:$D$501="Germany",ROW($D$2:$D$501)-1),ROW()-1)),"")</f>
        <v/>
      </c>
      <c r="W399" t="str" cm="1">
        <f t="array" ref="W399">IFERROR(INDEX($C$2:$C$501,SMALL(IF($D$2:$D$501="Spain",ROW($D$2:$D$501)-1),ROW()-1)),"")</f>
        <v/>
      </c>
    </row>
    <row r="400" spans="1:23" x14ac:dyDescent="0.35">
      <c r="A400">
        <v>399</v>
      </c>
      <c r="B400" t="s">
        <v>13</v>
      </c>
      <c r="C400">
        <v>629</v>
      </c>
      <c r="D400" t="s">
        <v>22</v>
      </c>
      <c r="E400" t="s">
        <v>26</v>
      </c>
      <c r="F400">
        <v>48</v>
      </c>
      <c r="G400">
        <v>4</v>
      </c>
      <c r="H400">
        <v>234503.75</v>
      </c>
      <c r="I400">
        <v>1</v>
      </c>
      <c r="J400">
        <v>1</v>
      </c>
      <c r="K400">
        <v>0</v>
      </c>
      <c r="L400">
        <v>64388.61</v>
      </c>
      <c r="M400">
        <v>0</v>
      </c>
      <c r="O400" t="str">
        <f t="shared" si="12"/>
        <v/>
      </c>
      <c r="P400">
        <f t="shared" si="13"/>
        <v>64388.61</v>
      </c>
      <c r="R400" t="str">
        <f t="array" ref="R400">IFERROR(INDEX($L$2:$L$501,SMALL(IF($M$2:$M$501=1,ROW($M$2:$M$501)-1),ROW()-1)),"")</f>
        <v/>
      </c>
      <c r="S400" t="str" cm="1">
        <f t="array" ref="S400">IFERROR(INDEX($L$2:$L$501,SMALL(IF($M$2:$M$501=0,ROW($M$2:$M$501)-1),ROW()-1)),"")</f>
        <v/>
      </c>
      <c r="U400" t="str" cm="1">
        <f t="array" ref="U400">IFERROR(INDEX($C$2:$C$501,SMALL(IF($D$2:$D$501="France",ROW($D$2:$D$501)-1),ROW()-1)),"")</f>
        <v/>
      </c>
      <c r="V400" t="str" cm="1">
        <f t="array" ref="V400">IFERROR(INDEX($C$2:$C$501,SMALL(IF($D$2:$D$501="Germany",ROW($D$2:$D$501)-1),ROW()-1)),"")</f>
        <v/>
      </c>
      <c r="W400" t="str" cm="1">
        <f t="array" ref="W400">IFERROR(INDEX($C$2:$C$501,SMALL(IF($D$2:$D$501="Spain",ROW($D$2:$D$501)-1),ROW()-1)),"")</f>
        <v/>
      </c>
    </row>
    <row r="401" spans="1:23" x14ac:dyDescent="0.35">
      <c r="A401">
        <v>400</v>
      </c>
      <c r="B401" t="s">
        <v>13</v>
      </c>
      <c r="C401">
        <v>697</v>
      </c>
      <c r="D401" t="s">
        <v>22</v>
      </c>
      <c r="E401" t="s">
        <v>25</v>
      </c>
      <c r="F401">
        <v>55</v>
      </c>
      <c r="G401">
        <v>3</v>
      </c>
      <c r="H401">
        <v>29981.98</v>
      </c>
      <c r="I401">
        <v>1</v>
      </c>
      <c r="J401">
        <v>1</v>
      </c>
      <c r="K401">
        <v>0</v>
      </c>
      <c r="L401">
        <v>97693.26</v>
      </c>
      <c r="M401">
        <v>1</v>
      </c>
      <c r="O401">
        <f t="shared" si="12"/>
        <v>97693.26</v>
      </c>
      <c r="P401" t="str">
        <f t="shared" si="13"/>
        <v/>
      </c>
      <c r="R401" t="str">
        <f t="array" ref="R401">IFERROR(INDEX($L$2:$L$501,SMALL(IF($M$2:$M$501=1,ROW($M$2:$M$501)-1),ROW()-1)),"")</f>
        <v/>
      </c>
      <c r="S401" t="str" cm="1">
        <f t="array" ref="S401">IFERROR(INDEX($L$2:$L$501,SMALL(IF($M$2:$M$501=0,ROW($M$2:$M$501)-1),ROW()-1)),"")</f>
        <v/>
      </c>
      <c r="U401" t="str" cm="1">
        <f t="array" ref="U401">IFERROR(INDEX($C$2:$C$501,SMALL(IF($D$2:$D$501="France",ROW($D$2:$D$501)-1),ROW()-1)),"")</f>
        <v/>
      </c>
      <c r="V401" t="str" cm="1">
        <f t="array" ref="V401">IFERROR(INDEX($C$2:$C$501,SMALL(IF($D$2:$D$501="Germany",ROW($D$2:$D$501)-1),ROW()-1)),"")</f>
        <v/>
      </c>
      <c r="W401" t="str" cm="1">
        <f t="array" ref="W401">IFERROR(INDEX($C$2:$C$501,SMALL(IF($D$2:$D$501="Spain",ROW($D$2:$D$501)-1),ROW()-1)),"")</f>
        <v/>
      </c>
    </row>
    <row r="402" spans="1:23" x14ac:dyDescent="0.35">
      <c r="A402">
        <v>401</v>
      </c>
      <c r="B402" t="s">
        <v>20</v>
      </c>
      <c r="C402">
        <v>716</v>
      </c>
      <c r="D402" t="s">
        <v>23</v>
      </c>
      <c r="E402" t="s">
        <v>26</v>
      </c>
      <c r="F402">
        <v>74</v>
      </c>
      <c r="G402">
        <v>10</v>
      </c>
      <c r="H402">
        <v>193015.5</v>
      </c>
      <c r="I402">
        <v>4</v>
      </c>
      <c r="J402">
        <v>0</v>
      </c>
      <c r="K402">
        <v>0</v>
      </c>
      <c r="L402">
        <v>127051.78</v>
      </c>
      <c r="M402">
        <v>0</v>
      </c>
      <c r="O402" t="str">
        <f t="shared" si="12"/>
        <v/>
      </c>
      <c r="P402">
        <f t="shared" si="13"/>
        <v>127051.78</v>
      </c>
      <c r="R402" t="str">
        <f t="array" ref="R402">IFERROR(INDEX($L$2:$L$501,SMALL(IF($M$2:$M$501=1,ROW($M$2:$M$501)-1),ROW()-1)),"")</f>
        <v/>
      </c>
      <c r="S402" t="str" cm="1">
        <f t="array" ref="S402">IFERROR(INDEX($L$2:$L$501,SMALL(IF($M$2:$M$501=0,ROW($M$2:$M$501)-1),ROW()-1)),"")</f>
        <v/>
      </c>
      <c r="U402" t="str" cm="1">
        <f t="array" ref="U402">IFERROR(INDEX($C$2:$C$501,SMALL(IF($D$2:$D$501="France",ROW($D$2:$D$501)-1),ROW()-1)),"")</f>
        <v/>
      </c>
      <c r="V402" t="str" cm="1">
        <f t="array" ref="V402">IFERROR(INDEX($C$2:$C$501,SMALL(IF($D$2:$D$501="Germany",ROW($D$2:$D$501)-1),ROW()-1)),"")</f>
        <v/>
      </c>
      <c r="W402" t="str" cm="1">
        <f t="array" ref="W402">IFERROR(INDEX($C$2:$C$501,SMALL(IF($D$2:$D$501="Spain",ROW($D$2:$D$501)-1),ROW()-1)),"")</f>
        <v/>
      </c>
    </row>
    <row r="403" spans="1:23" x14ac:dyDescent="0.35">
      <c r="A403">
        <v>402</v>
      </c>
      <c r="B403" t="s">
        <v>18</v>
      </c>
      <c r="C403">
        <v>357</v>
      </c>
      <c r="D403" t="s">
        <v>22</v>
      </c>
      <c r="E403" t="s">
        <v>26</v>
      </c>
      <c r="F403">
        <v>23</v>
      </c>
      <c r="G403">
        <v>0</v>
      </c>
      <c r="H403">
        <v>184400.14</v>
      </c>
      <c r="I403">
        <v>2</v>
      </c>
      <c r="J403">
        <v>1</v>
      </c>
      <c r="K403">
        <v>1</v>
      </c>
      <c r="L403">
        <v>22278.37</v>
      </c>
      <c r="M403">
        <v>0</v>
      </c>
      <c r="O403" t="str">
        <f t="shared" si="12"/>
        <v/>
      </c>
      <c r="P403">
        <f t="shared" si="13"/>
        <v>22278.37</v>
      </c>
      <c r="R403" t="str">
        <f t="array" ref="R403">IFERROR(INDEX($L$2:$L$501,SMALL(IF($M$2:$M$501=1,ROW($M$2:$M$501)-1),ROW()-1)),"")</f>
        <v/>
      </c>
      <c r="S403" t="str" cm="1">
        <f t="array" ref="S403">IFERROR(INDEX($L$2:$L$501,SMALL(IF($M$2:$M$501=0,ROW($M$2:$M$501)-1),ROW()-1)),"")</f>
        <v/>
      </c>
      <c r="U403" t="str" cm="1">
        <f t="array" ref="U403">IFERROR(INDEX($C$2:$C$501,SMALL(IF($D$2:$D$501="France",ROW($D$2:$D$501)-1),ROW()-1)),"")</f>
        <v/>
      </c>
      <c r="V403" t="str" cm="1">
        <f t="array" ref="V403">IFERROR(INDEX($C$2:$C$501,SMALL(IF($D$2:$D$501="Germany",ROW($D$2:$D$501)-1),ROW()-1)),"")</f>
        <v/>
      </c>
      <c r="W403" t="str" cm="1">
        <f t="array" ref="W403">IFERROR(INDEX($C$2:$C$501,SMALL(IF($D$2:$D$501="Spain",ROW($D$2:$D$501)-1),ROW()-1)),"")</f>
        <v/>
      </c>
    </row>
    <row r="404" spans="1:23" x14ac:dyDescent="0.35">
      <c r="A404">
        <v>403</v>
      </c>
      <c r="B404" t="s">
        <v>19</v>
      </c>
      <c r="C404">
        <v>628</v>
      </c>
      <c r="D404" t="s">
        <v>24</v>
      </c>
      <c r="E404" t="s">
        <v>25</v>
      </c>
      <c r="F404">
        <v>77</v>
      </c>
      <c r="G404">
        <v>2</v>
      </c>
      <c r="H404">
        <v>212693.91</v>
      </c>
      <c r="I404">
        <v>4</v>
      </c>
      <c r="J404">
        <v>1</v>
      </c>
      <c r="K404">
        <v>1</v>
      </c>
      <c r="L404">
        <v>71242.42</v>
      </c>
      <c r="M404">
        <v>1</v>
      </c>
      <c r="O404">
        <f t="shared" si="12"/>
        <v>71242.42</v>
      </c>
      <c r="P404" t="str">
        <f t="shared" si="13"/>
        <v/>
      </c>
      <c r="R404" t="str">
        <f t="array" ref="R404">IFERROR(INDEX($L$2:$L$501,SMALL(IF($M$2:$M$501=1,ROW($M$2:$M$501)-1),ROW()-1)),"")</f>
        <v/>
      </c>
      <c r="S404" t="str" cm="1">
        <f t="array" ref="S404">IFERROR(INDEX($L$2:$L$501,SMALL(IF($M$2:$M$501=0,ROW($M$2:$M$501)-1),ROW()-1)),"")</f>
        <v/>
      </c>
      <c r="U404" t="str" cm="1">
        <f t="array" ref="U404">IFERROR(INDEX($C$2:$C$501,SMALL(IF($D$2:$D$501="France",ROW($D$2:$D$501)-1),ROW()-1)),"")</f>
        <v/>
      </c>
      <c r="V404" t="str" cm="1">
        <f t="array" ref="V404">IFERROR(INDEX($C$2:$C$501,SMALL(IF($D$2:$D$501="Germany",ROW($D$2:$D$501)-1),ROW()-1)),"")</f>
        <v/>
      </c>
      <c r="W404" t="str" cm="1">
        <f t="array" ref="W404">IFERROR(INDEX($C$2:$C$501,SMALL(IF($D$2:$D$501="Spain",ROW($D$2:$D$501)-1),ROW()-1)),"")</f>
        <v/>
      </c>
    </row>
    <row r="405" spans="1:23" x14ac:dyDescent="0.35">
      <c r="A405">
        <v>404</v>
      </c>
      <c r="B405" t="s">
        <v>16</v>
      </c>
      <c r="C405">
        <v>704</v>
      </c>
      <c r="D405" t="s">
        <v>24</v>
      </c>
      <c r="E405" t="s">
        <v>26</v>
      </c>
      <c r="F405">
        <v>79</v>
      </c>
      <c r="G405">
        <v>10</v>
      </c>
      <c r="H405">
        <v>222300.09</v>
      </c>
      <c r="I405">
        <v>4</v>
      </c>
      <c r="J405">
        <v>0</v>
      </c>
      <c r="K405">
        <v>0</v>
      </c>
      <c r="L405">
        <v>76217.14</v>
      </c>
      <c r="M405">
        <v>1</v>
      </c>
      <c r="O405">
        <f t="shared" si="12"/>
        <v>76217.14</v>
      </c>
      <c r="P405" t="str">
        <f t="shared" si="13"/>
        <v/>
      </c>
      <c r="R405" t="str">
        <f t="array" ref="R405">IFERROR(INDEX($L$2:$L$501,SMALL(IF($M$2:$M$501=1,ROW($M$2:$M$501)-1),ROW()-1)),"")</f>
        <v/>
      </c>
      <c r="S405" t="str" cm="1">
        <f t="array" ref="S405">IFERROR(INDEX($L$2:$L$501,SMALL(IF($M$2:$M$501=0,ROW($M$2:$M$501)-1),ROW()-1)),"")</f>
        <v/>
      </c>
      <c r="U405" t="str" cm="1">
        <f t="array" ref="U405">IFERROR(INDEX($C$2:$C$501,SMALL(IF($D$2:$D$501="France",ROW($D$2:$D$501)-1),ROW()-1)),"")</f>
        <v/>
      </c>
      <c r="V405" t="str" cm="1">
        <f t="array" ref="V405">IFERROR(INDEX($C$2:$C$501,SMALL(IF($D$2:$D$501="Germany",ROW($D$2:$D$501)-1),ROW()-1)),"")</f>
        <v/>
      </c>
      <c r="W405" t="str" cm="1">
        <f t="array" ref="W405">IFERROR(INDEX($C$2:$C$501,SMALL(IF($D$2:$D$501="Spain",ROW($D$2:$D$501)-1),ROW()-1)),"")</f>
        <v/>
      </c>
    </row>
    <row r="406" spans="1:23" x14ac:dyDescent="0.35">
      <c r="A406">
        <v>405</v>
      </c>
      <c r="B406" t="s">
        <v>14</v>
      </c>
      <c r="C406">
        <v>508</v>
      </c>
      <c r="D406" t="s">
        <v>22</v>
      </c>
      <c r="E406" t="s">
        <v>25</v>
      </c>
      <c r="F406">
        <v>49</v>
      </c>
      <c r="G406">
        <v>5</v>
      </c>
      <c r="H406">
        <v>220856.36</v>
      </c>
      <c r="I406">
        <v>1</v>
      </c>
      <c r="J406">
        <v>0</v>
      </c>
      <c r="K406">
        <v>1</v>
      </c>
      <c r="L406">
        <v>84471.69</v>
      </c>
      <c r="M406">
        <v>1</v>
      </c>
      <c r="O406">
        <f t="shared" si="12"/>
        <v>84471.69</v>
      </c>
      <c r="P406" t="str">
        <f t="shared" si="13"/>
        <v/>
      </c>
      <c r="R406" t="str">
        <f t="array" ref="R406">IFERROR(INDEX($L$2:$L$501,SMALL(IF($M$2:$M$501=1,ROW($M$2:$M$501)-1),ROW()-1)),"")</f>
        <v/>
      </c>
      <c r="S406" t="str" cm="1">
        <f t="array" ref="S406">IFERROR(INDEX($L$2:$L$501,SMALL(IF($M$2:$M$501=0,ROW($M$2:$M$501)-1),ROW()-1)),"")</f>
        <v/>
      </c>
      <c r="U406" t="str" cm="1">
        <f t="array" ref="U406">IFERROR(INDEX($C$2:$C$501,SMALL(IF($D$2:$D$501="France",ROW($D$2:$D$501)-1),ROW()-1)),"")</f>
        <v/>
      </c>
      <c r="V406" t="str" cm="1">
        <f t="array" ref="V406">IFERROR(INDEX($C$2:$C$501,SMALL(IF($D$2:$D$501="Germany",ROW($D$2:$D$501)-1),ROW()-1)),"")</f>
        <v/>
      </c>
      <c r="W406" t="str" cm="1">
        <f t="array" ref="W406">IFERROR(INDEX($C$2:$C$501,SMALL(IF($D$2:$D$501="Spain",ROW($D$2:$D$501)-1),ROW()-1)),"")</f>
        <v/>
      </c>
    </row>
    <row r="407" spans="1:23" x14ac:dyDescent="0.35">
      <c r="A407">
        <v>406</v>
      </c>
      <c r="B407" t="s">
        <v>14</v>
      </c>
      <c r="C407">
        <v>596</v>
      </c>
      <c r="D407" t="s">
        <v>23</v>
      </c>
      <c r="E407" t="s">
        <v>26</v>
      </c>
      <c r="F407">
        <v>88</v>
      </c>
      <c r="G407">
        <v>4</v>
      </c>
      <c r="H407">
        <v>225228.97</v>
      </c>
      <c r="I407">
        <v>3</v>
      </c>
      <c r="J407">
        <v>0</v>
      </c>
      <c r="K407">
        <v>1</v>
      </c>
      <c r="L407">
        <v>55636.3</v>
      </c>
      <c r="M407">
        <v>1</v>
      </c>
      <c r="O407">
        <f t="shared" si="12"/>
        <v>55636.3</v>
      </c>
      <c r="P407" t="str">
        <f t="shared" si="13"/>
        <v/>
      </c>
      <c r="R407" t="str">
        <f t="array" ref="R407">IFERROR(INDEX($L$2:$L$501,SMALL(IF($M$2:$M$501=1,ROW($M$2:$M$501)-1),ROW()-1)),"")</f>
        <v/>
      </c>
      <c r="S407" t="str" cm="1">
        <f t="array" ref="S407">IFERROR(INDEX($L$2:$L$501,SMALL(IF($M$2:$M$501=0,ROW($M$2:$M$501)-1),ROW()-1)),"")</f>
        <v/>
      </c>
      <c r="U407" t="str" cm="1">
        <f t="array" ref="U407">IFERROR(INDEX($C$2:$C$501,SMALL(IF($D$2:$D$501="France",ROW($D$2:$D$501)-1),ROW()-1)),"")</f>
        <v/>
      </c>
      <c r="V407" t="str" cm="1">
        <f t="array" ref="V407">IFERROR(INDEX($C$2:$C$501,SMALL(IF($D$2:$D$501="Germany",ROW($D$2:$D$501)-1),ROW()-1)),"")</f>
        <v/>
      </c>
      <c r="W407" t="str" cm="1">
        <f t="array" ref="W407">IFERROR(INDEX($C$2:$C$501,SMALL(IF($D$2:$D$501="Spain",ROW($D$2:$D$501)-1),ROW()-1)),"")</f>
        <v/>
      </c>
    </row>
    <row r="408" spans="1:23" x14ac:dyDescent="0.35">
      <c r="A408">
        <v>407</v>
      </c>
      <c r="B408" t="s">
        <v>17</v>
      </c>
      <c r="C408">
        <v>430</v>
      </c>
      <c r="D408" t="s">
        <v>22</v>
      </c>
      <c r="E408" t="s">
        <v>26</v>
      </c>
      <c r="F408">
        <v>35</v>
      </c>
      <c r="G408">
        <v>2</v>
      </c>
      <c r="H408">
        <v>245176.21</v>
      </c>
      <c r="I408">
        <v>1</v>
      </c>
      <c r="J408">
        <v>0</v>
      </c>
      <c r="K408">
        <v>1</v>
      </c>
      <c r="L408">
        <v>35708.43</v>
      </c>
      <c r="M408">
        <v>1</v>
      </c>
      <c r="O408">
        <f t="shared" si="12"/>
        <v>35708.43</v>
      </c>
      <c r="P408" t="str">
        <f t="shared" si="13"/>
        <v/>
      </c>
      <c r="R408" t="str">
        <f t="array" ref="R408">IFERROR(INDEX($L$2:$L$501,SMALL(IF($M$2:$M$501=1,ROW($M$2:$M$501)-1),ROW()-1)),"")</f>
        <v/>
      </c>
      <c r="S408" t="str" cm="1">
        <f t="array" ref="S408">IFERROR(INDEX($L$2:$L$501,SMALL(IF($M$2:$M$501=0,ROW($M$2:$M$501)-1),ROW()-1)),"")</f>
        <v/>
      </c>
      <c r="U408" t="str" cm="1">
        <f t="array" ref="U408">IFERROR(INDEX($C$2:$C$501,SMALL(IF($D$2:$D$501="France",ROW($D$2:$D$501)-1),ROW()-1)),"")</f>
        <v/>
      </c>
      <c r="V408" t="str" cm="1">
        <f t="array" ref="V408">IFERROR(INDEX($C$2:$C$501,SMALL(IF($D$2:$D$501="Germany",ROW($D$2:$D$501)-1),ROW()-1)),"")</f>
        <v/>
      </c>
      <c r="W408" t="str" cm="1">
        <f t="array" ref="W408">IFERROR(INDEX($C$2:$C$501,SMALL(IF($D$2:$D$501="Spain",ROW($D$2:$D$501)-1),ROW()-1)),"")</f>
        <v/>
      </c>
    </row>
    <row r="409" spans="1:23" x14ac:dyDescent="0.35">
      <c r="A409">
        <v>408</v>
      </c>
      <c r="B409" t="s">
        <v>21</v>
      </c>
      <c r="C409">
        <v>505</v>
      </c>
      <c r="D409" t="s">
        <v>24</v>
      </c>
      <c r="E409" t="s">
        <v>25</v>
      </c>
      <c r="F409">
        <v>49</v>
      </c>
      <c r="G409">
        <v>7</v>
      </c>
      <c r="H409">
        <v>83107.39</v>
      </c>
      <c r="I409">
        <v>3</v>
      </c>
      <c r="J409">
        <v>0</v>
      </c>
      <c r="K409">
        <v>1</v>
      </c>
      <c r="L409">
        <v>41989.11</v>
      </c>
      <c r="M409">
        <v>0</v>
      </c>
      <c r="O409" t="str">
        <f t="shared" si="12"/>
        <v/>
      </c>
      <c r="P409">
        <f t="shared" si="13"/>
        <v>41989.11</v>
      </c>
      <c r="R409" t="str">
        <f t="array" ref="R409">IFERROR(INDEX($L$2:$L$501,SMALL(IF($M$2:$M$501=1,ROW($M$2:$M$501)-1),ROW()-1)),"")</f>
        <v/>
      </c>
      <c r="S409" t="str" cm="1">
        <f t="array" ref="S409">IFERROR(INDEX($L$2:$L$501,SMALL(IF($M$2:$M$501=0,ROW($M$2:$M$501)-1),ROW()-1)),"")</f>
        <v/>
      </c>
      <c r="U409" t="str" cm="1">
        <f t="array" ref="U409">IFERROR(INDEX($C$2:$C$501,SMALL(IF($D$2:$D$501="France",ROW($D$2:$D$501)-1),ROW()-1)),"")</f>
        <v/>
      </c>
      <c r="V409" t="str" cm="1">
        <f t="array" ref="V409">IFERROR(INDEX($C$2:$C$501,SMALL(IF($D$2:$D$501="Germany",ROW($D$2:$D$501)-1),ROW()-1)),"")</f>
        <v/>
      </c>
      <c r="W409" t="str" cm="1">
        <f t="array" ref="W409">IFERROR(INDEX($C$2:$C$501,SMALL(IF($D$2:$D$501="Spain",ROW($D$2:$D$501)-1),ROW()-1)),"")</f>
        <v/>
      </c>
    </row>
    <row r="410" spans="1:23" x14ac:dyDescent="0.35">
      <c r="A410">
        <v>409</v>
      </c>
      <c r="B410" t="s">
        <v>17</v>
      </c>
      <c r="C410">
        <v>397</v>
      </c>
      <c r="D410" t="s">
        <v>24</v>
      </c>
      <c r="E410" t="s">
        <v>25</v>
      </c>
      <c r="F410">
        <v>49</v>
      </c>
      <c r="G410">
        <v>10</v>
      </c>
      <c r="H410">
        <v>232252.83</v>
      </c>
      <c r="I410">
        <v>2</v>
      </c>
      <c r="J410">
        <v>0</v>
      </c>
      <c r="K410">
        <v>1</v>
      </c>
      <c r="L410">
        <v>44531.43</v>
      </c>
      <c r="M410">
        <v>0</v>
      </c>
      <c r="O410" t="str">
        <f t="shared" si="12"/>
        <v/>
      </c>
      <c r="P410">
        <f t="shared" si="13"/>
        <v>44531.43</v>
      </c>
      <c r="R410" t="str">
        <f t="array" ref="R410">IFERROR(INDEX($L$2:$L$501,SMALL(IF($M$2:$M$501=1,ROW($M$2:$M$501)-1),ROW()-1)),"")</f>
        <v/>
      </c>
      <c r="S410" t="str" cm="1">
        <f t="array" ref="S410">IFERROR(INDEX($L$2:$L$501,SMALL(IF($M$2:$M$501=0,ROW($M$2:$M$501)-1),ROW()-1)),"")</f>
        <v/>
      </c>
      <c r="U410" t="str" cm="1">
        <f t="array" ref="U410">IFERROR(INDEX($C$2:$C$501,SMALL(IF($D$2:$D$501="France",ROW($D$2:$D$501)-1),ROW()-1)),"")</f>
        <v/>
      </c>
      <c r="V410" t="str" cm="1">
        <f t="array" ref="V410">IFERROR(INDEX($C$2:$C$501,SMALL(IF($D$2:$D$501="Germany",ROW($D$2:$D$501)-1),ROW()-1)),"")</f>
        <v/>
      </c>
      <c r="W410" t="str" cm="1">
        <f t="array" ref="W410">IFERROR(INDEX($C$2:$C$501,SMALL(IF($D$2:$D$501="Spain",ROW($D$2:$D$501)-1),ROW()-1)),"")</f>
        <v/>
      </c>
    </row>
    <row r="411" spans="1:23" x14ac:dyDescent="0.35">
      <c r="A411">
        <v>410</v>
      </c>
      <c r="B411" t="s">
        <v>21</v>
      </c>
      <c r="C411">
        <v>845</v>
      </c>
      <c r="D411" t="s">
        <v>22</v>
      </c>
      <c r="E411" t="s">
        <v>26</v>
      </c>
      <c r="F411">
        <v>57</v>
      </c>
      <c r="G411">
        <v>3</v>
      </c>
      <c r="H411">
        <v>236890.08</v>
      </c>
      <c r="I411">
        <v>4</v>
      </c>
      <c r="J411">
        <v>0</v>
      </c>
      <c r="K411">
        <v>0</v>
      </c>
      <c r="L411">
        <v>67984.02</v>
      </c>
      <c r="M411">
        <v>1</v>
      </c>
      <c r="O411">
        <f t="shared" si="12"/>
        <v>67984.02</v>
      </c>
      <c r="P411" t="str">
        <f t="shared" si="13"/>
        <v/>
      </c>
      <c r="R411" t="str">
        <f t="array" ref="R411">IFERROR(INDEX($L$2:$L$501,SMALL(IF($M$2:$M$501=1,ROW($M$2:$M$501)-1),ROW()-1)),"")</f>
        <v/>
      </c>
      <c r="S411" t="str" cm="1">
        <f t="array" ref="S411">IFERROR(INDEX($L$2:$L$501,SMALL(IF($M$2:$M$501=0,ROW($M$2:$M$501)-1),ROW()-1)),"")</f>
        <v/>
      </c>
      <c r="U411" t="str" cm="1">
        <f t="array" ref="U411">IFERROR(INDEX($C$2:$C$501,SMALL(IF($D$2:$D$501="France",ROW($D$2:$D$501)-1),ROW()-1)),"")</f>
        <v/>
      </c>
      <c r="V411" t="str" cm="1">
        <f t="array" ref="V411">IFERROR(INDEX($C$2:$C$501,SMALL(IF($D$2:$D$501="Germany",ROW($D$2:$D$501)-1),ROW()-1)),"")</f>
        <v/>
      </c>
      <c r="W411" t="str" cm="1">
        <f t="array" ref="W411">IFERROR(INDEX($C$2:$C$501,SMALL(IF($D$2:$D$501="Spain",ROW($D$2:$D$501)-1),ROW()-1)),"")</f>
        <v/>
      </c>
    </row>
    <row r="412" spans="1:23" x14ac:dyDescent="0.35">
      <c r="A412">
        <v>411</v>
      </c>
      <c r="B412" t="s">
        <v>14</v>
      </c>
      <c r="C412">
        <v>464</v>
      </c>
      <c r="D412" t="s">
        <v>23</v>
      </c>
      <c r="E412" t="s">
        <v>26</v>
      </c>
      <c r="F412">
        <v>68</v>
      </c>
      <c r="G412">
        <v>7</v>
      </c>
      <c r="H412">
        <v>162045.57</v>
      </c>
      <c r="I412">
        <v>1</v>
      </c>
      <c r="J412">
        <v>0</v>
      </c>
      <c r="K412">
        <v>0</v>
      </c>
      <c r="L412">
        <v>87532.67</v>
      </c>
      <c r="M412">
        <v>1</v>
      </c>
      <c r="O412">
        <f t="shared" si="12"/>
        <v>87532.67</v>
      </c>
      <c r="P412" t="str">
        <f t="shared" si="13"/>
        <v/>
      </c>
      <c r="R412" t="str">
        <f t="array" ref="R412">IFERROR(INDEX($L$2:$L$501,SMALL(IF($M$2:$M$501=1,ROW($M$2:$M$501)-1),ROW()-1)),"")</f>
        <v/>
      </c>
      <c r="S412" t="str" cm="1">
        <f t="array" ref="S412">IFERROR(INDEX($L$2:$L$501,SMALL(IF($M$2:$M$501=0,ROW($M$2:$M$501)-1),ROW()-1)),"")</f>
        <v/>
      </c>
      <c r="U412" t="str" cm="1">
        <f t="array" ref="U412">IFERROR(INDEX($C$2:$C$501,SMALL(IF($D$2:$D$501="France",ROW($D$2:$D$501)-1),ROW()-1)),"")</f>
        <v/>
      </c>
      <c r="V412" t="str" cm="1">
        <f t="array" ref="V412">IFERROR(INDEX($C$2:$C$501,SMALL(IF($D$2:$D$501="Germany",ROW($D$2:$D$501)-1),ROW()-1)),"")</f>
        <v/>
      </c>
      <c r="W412" t="str" cm="1">
        <f t="array" ref="W412">IFERROR(INDEX($C$2:$C$501,SMALL(IF($D$2:$D$501="Spain",ROW($D$2:$D$501)-1),ROW()-1)),"")</f>
        <v/>
      </c>
    </row>
    <row r="413" spans="1:23" x14ac:dyDescent="0.35">
      <c r="A413">
        <v>412</v>
      </c>
      <c r="B413" t="s">
        <v>18</v>
      </c>
      <c r="C413">
        <v>361</v>
      </c>
      <c r="D413" t="s">
        <v>24</v>
      </c>
      <c r="E413" t="s">
        <v>26</v>
      </c>
      <c r="F413">
        <v>56</v>
      </c>
      <c r="G413">
        <v>3</v>
      </c>
      <c r="H413">
        <v>166147.69</v>
      </c>
      <c r="I413">
        <v>2</v>
      </c>
      <c r="J413">
        <v>1</v>
      </c>
      <c r="K413">
        <v>0</v>
      </c>
      <c r="L413">
        <v>56454.41</v>
      </c>
      <c r="M413">
        <v>1</v>
      </c>
      <c r="O413">
        <f t="shared" si="12"/>
        <v>56454.41</v>
      </c>
      <c r="P413" t="str">
        <f t="shared" si="13"/>
        <v/>
      </c>
      <c r="R413" t="str">
        <f t="array" ref="R413">IFERROR(INDEX($L$2:$L$501,SMALL(IF($M$2:$M$501=1,ROW($M$2:$M$501)-1),ROW()-1)),"")</f>
        <v/>
      </c>
      <c r="S413" t="str" cm="1">
        <f t="array" ref="S413">IFERROR(INDEX($L$2:$L$501,SMALL(IF($M$2:$M$501=0,ROW($M$2:$M$501)-1),ROW()-1)),"")</f>
        <v/>
      </c>
      <c r="U413" t="str" cm="1">
        <f t="array" ref="U413">IFERROR(INDEX($C$2:$C$501,SMALL(IF($D$2:$D$501="France",ROW($D$2:$D$501)-1),ROW()-1)),"")</f>
        <v/>
      </c>
      <c r="V413" t="str" cm="1">
        <f t="array" ref="V413">IFERROR(INDEX($C$2:$C$501,SMALL(IF($D$2:$D$501="Germany",ROW($D$2:$D$501)-1),ROW()-1)),"")</f>
        <v/>
      </c>
      <c r="W413" t="str" cm="1">
        <f t="array" ref="W413">IFERROR(INDEX($C$2:$C$501,SMALL(IF($D$2:$D$501="Spain",ROW($D$2:$D$501)-1),ROW()-1)),"")</f>
        <v/>
      </c>
    </row>
    <row r="414" spans="1:23" x14ac:dyDescent="0.35">
      <c r="A414">
        <v>413</v>
      </c>
      <c r="B414" t="s">
        <v>21</v>
      </c>
      <c r="C414">
        <v>821</v>
      </c>
      <c r="D414" t="s">
        <v>23</v>
      </c>
      <c r="E414" t="s">
        <v>26</v>
      </c>
      <c r="F414">
        <v>86</v>
      </c>
      <c r="G414">
        <v>1</v>
      </c>
      <c r="H414">
        <v>89639.64</v>
      </c>
      <c r="I414">
        <v>3</v>
      </c>
      <c r="J414">
        <v>1</v>
      </c>
      <c r="K414">
        <v>0</v>
      </c>
      <c r="L414">
        <v>125590.02</v>
      </c>
      <c r="M414">
        <v>1</v>
      </c>
      <c r="O414">
        <f t="shared" si="12"/>
        <v>125590.02</v>
      </c>
      <c r="P414" t="str">
        <f t="shared" si="13"/>
        <v/>
      </c>
      <c r="R414" t="str">
        <f t="array" ref="R414">IFERROR(INDEX($L$2:$L$501,SMALL(IF($M$2:$M$501=1,ROW($M$2:$M$501)-1),ROW()-1)),"")</f>
        <v/>
      </c>
      <c r="S414" t="str" cm="1">
        <f t="array" ref="S414">IFERROR(INDEX($L$2:$L$501,SMALL(IF($M$2:$M$501=0,ROW($M$2:$M$501)-1),ROW()-1)),"")</f>
        <v/>
      </c>
      <c r="U414" t="str" cm="1">
        <f t="array" ref="U414">IFERROR(INDEX($C$2:$C$501,SMALL(IF($D$2:$D$501="France",ROW($D$2:$D$501)-1),ROW()-1)),"")</f>
        <v/>
      </c>
      <c r="V414" t="str" cm="1">
        <f t="array" ref="V414">IFERROR(INDEX($C$2:$C$501,SMALL(IF($D$2:$D$501="Germany",ROW($D$2:$D$501)-1),ROW()-1)),"")</f>
        <v/>
      </c>
      <c r="W414" t="str" cm="1">
        <f t="array" ref="W414">IFERROR(INDEX($C$2:$C$501,SMALL(IF($D$2:$D$501="Spain",ROW($D$2:$D$501)-1),ROW()-1)),"")</f>
        <v/>
      </c>
    </row>
    <row r="415" spans="1:23" x14ac:dyDescent="0.35">
      <c r="A415">
        <v>414</v>
      </c>
      <c r="B415" t="s">
        <v>21</v>
      </c>
      <c r="C415">
        <v>684</v>
      </c>
      <c r="D415" t="s">
        <v>22</v>
      </c>
      <c r="E415" t="s">
        <v>26</v>
      </c>
      <c r="F415">
        <v>57</v>
      </c>
      <c r="G415">
        <v>4</v>
      </c>
      <c r="H415">
        <v>186325.98</v>
      </c>
      <c r="I415">
        <v>4</v>
      </c>
      <c r="J415">
        <v>0</v>
      </c>
      <c r="K415">
        <v>0</v>
      </c>
      <c r="L415">
        <v>76620.289999999994</v>
      </c>
      <c r="M415">
        <v>0</v>
      </c>
      <c r="O415" t="str">
        <f t="shared" si="12"/>
        <v/>
      </c>
      <c r="P415">
        <f t="shared" si="13"/>
        <v>76620.289999999994</v>
      </c>
      <c r="R415" t="str">
        <f t="array" ref="R415">IFERROR(INDEX($L$2:$L$501,SMALL(IF($M$2:$M$501=1,ROW($M$2:$M$501)-1),ROW()-1)),"")</f>
        <v/>
      </c>
      <c r="S415" t="str" cm="1">
        <f t="array" ref="S415">IFERROR(INDEX($L$2:$L$501,SMALL(IF($M$2:$M$501=0,ROW($M$2:$M$501)-1),ROW()-1)),"")</f>
        <v/>
      </c>
      <c r="U415" t="str" cm="1">
        <f t="array" ref="U415">IFERROR(INDEX($C$2:$C$501,SMALL(IF($D$2:$D$501="France",ROW($D$2:$D$501)-1),ROW()-1)),"")</f>
        <v/>
      </c>
      <c r="V415" t="str" cm="1">
        <f t="array" ref="V415">IFERROR(INDEX($C$2:$C$501,SMALL(IF($D$2:$D$501="Germany",ROW($D$2:$D$501)-1),ROW()-1)),"")</f>
        <v/>
      </c>
      <c r="W415" t="str" cm="1">
        <f t="array" ref="W415">IFERROR(INDEX($C$2:$C$501,SMALL(IF($D$2:$D$501="Spain",ROW($D$2:$D$501)-1),ROW()-1)),"")</f>
        <v/>
      </c>
    </row>
    <row r="416" spans="1:23" x14ac:dyDescent="0.35">
      <c r="A416">
        <v>415</v>
      </c>
      <c r="B416" t="s">
        <v>13</v>
      </c>
      <c r="C416">
        <v>837</v>
      </c>
      <c r="D416" t="s">
        <v>24</v>
      </c>
      <c r="E416" t="s">
        <v>25</v>
      </c>
      <c r="F416">
        <v>31</v>
      </c>
      <c r="G416">
        <v>5</v>
      </c>
      <c r="H416">
        <v>150640.24</v>
      </c>
      <c r="I416">
        <v>4</v>
      </c>
      <c r="J416">
        <v>0</v>
      </c>
      <c r="K416">
        <v>0</v>
      </c>
      <c r="L416">
        <v>52816.7</v>
      </c>
      <c r="M416">
        <v>1</v>
      </c>
      <c r="O416">
        <f t="shared" si="12"/>
        <v>52816.7</v>
      </c>
      <c r="P416" t="str">
        <f t="shared" si="13"/>
        <v/>
      </c>
      <c r="R416" t="str">
        <f t="array" ref="R416">IFERROR(INDEX($L$2:$L$501,SMALL(IF($M$2:$M$501=1,ROW($M$2:$M$501)-1),ROW()-1)),"")</f>
        <v/>
      </c>
      <c r="S416" t="str" cm="1">
        <f t="array" ref="S416">IFERROR(INDEX($L$2:$L$501,SMALL(IF($M$2:$M$501=0,ROW($M$2:$M$501)-1),ROW()-1)),"")</f>
        <v/>
      </c>
      <c r="U416" t="str" cm="1">
        <f t="array" ref="U416">IFERROR(INDEX($C$2:$C$501,SMALL(IF($D$2:$D$501="France",ROW($D$2:$D$501)-1),ROW()-1)),"")</f>
        <v/>
      </c>
      <c r="V416" t="str" cm="1">
        <f t="array" ref="V416">IFERROR(INDEX($C$2:$C$501,SMALL(IF($D$2:$D$501="Germany",ROW($D$2:$D$501)-1),ROW()-1)),"")</f>
        <v/>
      </c>
      <c r="W416" t="str" cm="1">
        <f t="array" ref="W416">IFERROR(INDEX($C$2:$C$501,SMALL(IF($D$2:$D$501="Spain",ROW($D$2:$D$501)-1),ROW()-1)),"")</f>
        <v/>
      </c>
    </row>
    <row r="417" spans="1:23" x14ac:dyDescent="0.35">
      <c r="A417">
        <v>416</v>
      </c>
      <c r="B417" t="s">
        <v>15</v>
      </c>
      <c r="C417">
        <v>636</v>
      </c>
      <c r="D417" t="s">
        <v>24</v>
      </c>
      <c r="E417" t="s">
        <v>26</v>
      </c>
      <c r="F417">
        <v>53</v>
      </c>
      <c r="G417">
        <v>3</v>
      </c>
      <c r="H417">
        <v>196579.74</v>
      </c>
      <c r="I417">
        <v>2</v>
      </c>
      <c r="J417">
        <v>1</v>
      </c>
      <c r="K417">
        <v>0</v>
      </c>
      <c r="L417">
        <v>58389.15</v>
      </c>
      <c r="M417">
        <v>1</v>
      </c>
      <c r="O417">
        <f t="shared" si="12"/>
        <v>58389.15</v>
      </c>
      <c r="P417" t="str">
        <f t="shared" si="13"/>
        <v/>
      </c>
      <c r="R417" t="str">
        <f t="array" ref="R417">IFERROR(INDEX($L$2:$L$501,SMALL(IF($M$2:$M$501=1,ROW($M$2:$M$501)-1),ROW()-1)),"")</f>
        <v/>
      </c>
      <c r="S417" t="str" cm="1">
        <f t="array" ref="S417">IFERROR(INDEX($L$2:$L$501,SMALL(IF($M$2:$M$501=0,ROW($M$2:$M$501)-1),ROW()-1)),"")</f>
        <v/>
      </c>
      <c r="U417" t="str" cm="1">
        <f t="array" ref="U417">IFERROR(INDEX($C$2:$C$501,SMALL(IF($D$2:$D$501="France",ROW($D$2:$D$501)-1),ROW()-1)),"")</f>
        <v/>
      </c>
      <c r="V417" t="str" cm="1">
        <f t="array" ref="V417">IFERROR(INDEX($C$2:$C$501,SMALL(IF($D$2:$D$501="Germany",ROW($D$2:$D$501)-1),ROW()-1)),"")</f>
        <v/>
      </c>
      <c r="W417" t="str" cm="1">
        <f t="array" ref="W417">IFERROR(INDEX($C$2:$C$501,SMALL(IF($D$2:$D$501="Spain",ROW($D$2:$D$501)-1),ROW()-1)),"")</f>
        <v/>
      </c>
    </row>
    <row r="418" spans="1:23" x14ac:dyDescent="0.35">
      <c r="A418">
        <v>417</v>
      </c>
      <c r="B418" t="s">
        <v>20</v>
      </c>
      <c r="C418">
        <v>440</v>
      </c>
      <c r="D418" t="s">
        <v>24</v>
      </c>
      <c r="E418" t="s">
        <v>25</v>
      </c>
      <c r="F418">
        <v>29</v>
      </c>
      <c r="G418">
        <v>2</v>
      </c>
      <c r="H418">
        <v>38378.400000000001</v>
      </c>
      <c r="I418">
        <v>2</v>
      </c>
      <c r="J418">
        <v>0</v>
      </c>
      <c r="K418">
        <v>0</v>
      </c>
      <c r="L418">
        <v>148498.85</v>
      </c>
      <c r="M418">
        <v>1</v>
      </c>
      <c r="O418">
        <f t="shared" si="12"/>
        <v>148498.85</v>
      </c>
      <c r="P418" t="str">
        <f t="shared" si="13"/>
        <v/>
      </c>
      <c r="R418" t="str">
        <f t="array" ref="R418">IFERROR(INDEX($L$2:$L$501,SMALL(IF($M$2:$M$501=1,ROW($M$2:$M$501)-1),ROW()-1)),"")</f>
        <v/>
      </c>
      <c r="S418" t="str" cm="1">
        <f t="array" ref="S418">IFERROR(INDEX($L$2:$L$501,SMALL(IF($M$2:$M$501=0,ROW($M$2:$M$501)-1),ROW()-1)),"")</f>
        <v/>
      </c>
      <c r="U418" t="str" cm="1">
        <f t="array" ref="U418">IFERROR(INDEX($C$2:$C$501,SMALL(IF($D$2:$D$501="France",ROW($D$2:$D$501)-1),ROW()-1)),"")</f>
        <v/>
      </c>
      <c r="V418" t="str" cm="1">
        <f t="array" ref="V418">IFERROR(INDEX($C$2:$C$501,SMALL(IF($D$2:$D$501="Germany",ROW($D$2:$D$501)-1),ROW()-1)),"")</f>
        <v/>
      </c>
      <c r="W418" t="str" cm="1">
        <f t="array" ref="W418">IFERROR(INDEX($C$2:$C$501,SMALL(IF($D$2:$D$501="Spain",ROW($D$2:$D$501)-1),ROW()-1)),"")</f>
        <v/>
      </c>
    </row>
    <row r="419" spans="1:23" x14ac:dyDescent="0.35">
      <c r="A419">
        <v>418</v>
      </c>
      <c r="B419" t="s">
        <v>18</v>
      </c>
      <c r="C419">
        <v>640</v>
      </c>
      <c r="D419" t="s">
        <v>24</v>
      </c>
      <c r="E419" t="s">
        <v>26</v>
      </c>
      <c r="F419">
        <v>72</v>
      </c>
      <c r="G419">
        <v>1</v>
      </c>
      <c r="H419">
        <v>203648.16</v>
      </c>
      <c r="I419">
        <v>2</v>
      </c>
      <c r="J419">
        <v>0</v>
      </c>
      <c r="K419">
        <v>0</v>
      </c>
      <c r="L419">
        <v>102614.36</v>
      </c>
      <c r="M419">
        <v>1</v>
      </c>
      <c r="O419">
        <f t="shared" si="12"/>
        <v>102614.36</v>
      </c>
      <c r="P419" t="str">
        <f t="shared" si="13"/>
        <v/>
      </c>
      <c r="R419" t="str">
        <f t="array" ref="R419">IFERROR(INDEX($L$2:$L$501,SMALL(IF($M$2:$M$501=1,ROW($M$2:$M$501)-1),ROW()-1)),"")</f>
        <v/>
      </c>
      <c r="S419" t="str" cm="1">
        <f t="array" ref="S419">IFERROR(INDEX($L$2:$L$501,SMALL(IF($M$2:$M$501=0,ROW($M$2:$M$501)-1),ROW()-1)),"")</f>
        <v/>
      </c>
      <c r="U419" t="str" cm="1">
        <f t="array" ref="U419">IFERROR(INDEX($C$2:$C$501,SMALL(IF($D$2:$D$501="France",ROW($D$2:$D$501)-1),ROW()-1)),"")</f>
        <v/>
      </c>
      <c r="V419" t="str" cm="1">
        <f t="array" ref="V419">IFERROR(INDEX($C$2:$C$501,SMALL(IF($D$2:$D$501="Germany",ROW($D$2:$D$501)-1),ROW()-1)),"")</f>
        <v/>
      </c>
      <c r="W419" t="str" cm="1">
        <f t="array" ref="W419">IFERROR(INDEX($C$2:$C$501,SMALL(IF($D$2:$D$501="Spain",ROW($D$2:$D$501)-1),ROW()-1)),"")</f>
        <v/>
      </c>
    </row>
    <row r="420" spans="1:23" x14ac:dyDescent="0.35">
      <c r="A420">
        <v>419</v>
      </c>
      <c r="B420" t="s">
        <v>14</v>
      </c>
      <c r="C420">
        <v>404</v>
      </c>
      <c r="D420" t="s">
        <v>24</v>
      </c>
      <c r="E420" t="s">
        <v>26</v>
      </c>
      <c r="F420">
        <v>54</v>
      </c>
      <c r="G420">
        <v>10</v>
      </c>
      <c r="H420">
        <v>180845.4</v>
      </c>
      <c r="I420">
        <v>1</v>
      </c>
      <c r="J420">
        <v>0</v>
      </c>
      <c r="K420">
        <v>1</v>
      </c>
      <c r="L420">
        <v>67354.759999999995</v>
      </c>
      <c r="M420">
        <v>1</v>
      </c>
      <c r="O420">
        <f t="shared" si="12"/>
        <v>67354.759999999995</v>
      </c>
      <c r="P420" t="str">
        <f t="shared" si="13"/>
        <v/>
      </c>
      <c r="R420" t="str">
        <f t="array" ref="R420">IFERROR(INDEX($L$2:$L$501,SMALL(IF($M$2:$M$501=1,ROW($M$2:$M$501)-1),ROW()-1)),"")</f>
        <v/>
      </c>
      <c r="S420" t="str" cm="1">
        <f t="array" ref="S420">IFERROR(INDEX($L$2:$L$501,SMALL(IF($M$2:$M$501=0,ROW($M$2:$M$501)-1),ROW()-1)),"")</f>
        <v/>
      </c>
      <c r="U420" t="str" cm="1">
        <f t="array" ref="U420">IFERROR(INDEX($C$2:$C$501,SMALL(IF($D$2:$D$501="France",ROW($D$2:$D$501)-1),ROW()-1)),"")</f>
        <v/>
      </c>
      <c r="V420" t="str" cm="1">
        <f t="array" ref="V420">IFERROR(INDEX($C$2:$C$501,SMALL(IF($D$2:$D$501="Germany",ROW($D$2:$D$501)-1),ROW()-1)),"")</f>
        <v/>
      </c>
      <c r="W420" t="str" cm="1">
        <f t="array" ref="W420">IFERROR(INDEX($C$2:$C$501,SMALL(IF($D$2:$D$501="Spain",ROW($D$2:$D$501)-1),ROW()-1)),"")</f>
        <v/>
      </c>
    </row>
    <row r="421" spans="1:23" x14ac:dyDescent="0.35">
      <c r="A421">
        <v>420</v>
      </c>
      <c r="B421" t="s">
        <v>12</v>
      </c>
      <c r="C421">
        <v>687</v>
      </c>
      <c r="D421" t="s">
        <v>24</v>
      </c>
      <c r="E421" t="s">
        <v>26</v>
      </c>
      <c r="F421">
        <v>69</v>
      </c>
      <c r="G421">
        <v>3</v>
      </c>
      <c r="H421">
        <v>136486.32999999999</v>
      </c>
      <c r="I421">
        <v>4</v>
      </c>
      <c r="J421">
        <v>0</v>
      </c>
      <c r="K421">
        <v>0</v>
      </c>
      <c r="L421">
        <v>135558.76</v>
      </c>
      <c r="M421">
        <v>0</v>
      </c>
      <c r="O421" t="str">
        <f t="shared" si="12"/>
        <v/>
      </c>
      <c r="P421">
        <f t="shared" si="13"/>
        <v>135558.76</v>
      </c>
      <c r="R421" t="str">
        <f t="array" ref="R421">IFERROR(INDEX($L$2:$L$501,SMALL(IF($M$2:$M$501=1,ROW($M$2:$M$501)-1),ROW()-1)),"")</f>
        <v/>
      </c>
      <c r="S421" t="str" cm="1">
        <f t="array" ref="S421">IFERROR(INDEX($L$2:$L$501,SMALL(IF($M$2:$M$501=0,ROW($M$2:$M$501)-1),ROW()-1)),"")</f>
        <v/>
      </c>
      <c r="U421" t="str" cm="1">
        <f t="array" ref="U421">IFERROR(INDEX($C$2:$C$501,SMALL(IF($D$2:$D$501="France",ROW($D$2:$D$501)-1),ROW()-1)),"")</f>
        <v/>
      </c>
      <c r="V421" t="str" cm="1">
        <f t="array" ref="V421">IFERROR(INDEX($C$2:$C$501,SMALL(IF($D$2:$D$501="Germany",ROW($D$2:$D$501)-1),ROW()-1)),"")</f>
        <v/>
      </c>
      <c r="W421" t="str" cm="1">
        <f t="array" ref="W421">IFERROR(INDEX($C$2:$C$501,SMALL(IF($D$2:$D$501="Spain",ROW($D$2:$D$501)-1),ROW()-1)),"")</f>
        <v/>
      </c>
    </row>
    <row r="422" spans="1:23" x14ac:dyDescent="0.35">
      <c r="A422">
        <v>421</v>
      </c>
      <c r="B422" t="s">
        <v>19</v>
      </c>
      <c r="C422">
        <v>513</v>
      </c>
      <c r="D422" t="s">
        <v>22</v>
      </c>
      <c r="E422" t="s">
        <v>25</v>
      </c>
      <c r="F422">
        <v>52</v>
      </c>
      <c r="G422">
        <v>4</v>
      </c>
      <c r="H422">
        <v>64929.13</v>
      </c>
      <c r="I422">
        <v>2</v>
      </c>
      <c r="J422">
        <v>1</v>
      </c>
      <c r="K422">
        <v>1</v>
      </c>
      <c r="L422">
        <v>117045.7</v>
      </c>
      <c r="M422">
        <v>0</v>
      </c>
      <c r="O422" t="str">
        <f t="shared" si="12"/>
        <v/>
      </c>
      <c r="P422">
        <f t="shared" si="13"/>
        <v>117045.7</v>
      </c>
      <c r="R422" t="str">
        <f t="array" ref="R422">IFERROR(INDEX($L$2:$L$501,SMALL(IF($M$2:$M$501=1,ROW($M$2:$M$501)-1),ROW()-1)),"")</f>
        <v/>
      </c>
      <c r="S422" t="str" cm="1">
        <f t="array" ref="S422">IFERROR(INDEX($L$2:$L$501,SMALL(IF($M$2:$M$501=0,ROW($M$2:$M$501)-1),ROW()-1)),"")</f>
        <v/>
      </c>
      <c r="U422" t="str" cm="1">
        <f t="array" ref="U422">IFERROR(INDEX($C$2:$C$501,SMALL(IF($D$2:$D$501="France",ROW($D$2:$D$501)-1),ROW()-1)),"")</f>
        <v/>
      </c>
      <c r="V422" t="str" cm="1">
        <f t="array" ref="V422">IFERROR(INDEX($C$2:$C$501,SMALL(IF($D$2:$D$501="Germany",ROW($D$2:$D$501)-1),ROW()-1)),"")</f>
        <v/>
      </c>
      <c r="W422" t="str" cm="1">
        <f t="array" ref="W422">IFERROR(INDEX($C$2:$C$501,SMALL(IF($D$2:$D$501="Spain",ROW($D$2:$D$501)-1),ROW()-1)),"")</f>
        <v/>
      </c>
    </row>
    <row r="423" spans="1:23" x14ac:dyDescent="0.35">
      <c r="A423">
        <v>422</v>
      </c>
      <c r="B423" t="s">
        <v>14</v>
      </c>
      <c r="C423">
        <v>421</v>
      </c>
      <c r="D423" t="s">
        <v>24</v>
      </c>
      <c r="E423" t="s">
        <v>26</v>
      </c>
      <c r="F423">
        <v>76</v>
      </c>
      <c r="G423">
        <v>4</v>
      </c>
      <c r="H423">
        <v>24418.55</v>
      </c>
      <c r="I423">
        <v>3</v>
      </c>
      <c r="J423">
        <v>0</v>
      </c>
      <c r="K423">
        <v>1</v>
      </c>
      <c r="L423">
        <v>131045.9</v>
      </c>
      <c r="M423">
        <v>0</v>
      </c>
      <c r="O423" t="str">
        <f t="shared" si="12"/>
        <v/>
      </c>
      <c r="P423">
        <f t="shared" si="13"/>
        <v>131045.9</v>
      </c>
      <c r="R423" t="str">
        <f t="array" ref="R423">IFERROR(INDEX($L$2:$L$501,SMALL(IF($M$2:$M$501=1,ROW($M$2:$M$501)-1),ROW()-1)),"")</f>
        <v/>
      </c>
      <c r="S423" t="str" cm="1">
        <f t="array" ref="S423">IFERROR(INDEX($L$2:$L$501,SMALL(IF($M$2:$M$501=0,ROW($M$2:$M$501)-1),ROW()-1)),"")</f>
        <v/>
      </c>
      <c r="U423" t="str" cm="1">
        <f t="array" ref="U423">IFERROR(INDEX($C$2:$C$501,SMALL(IF($D$2:$D$501="France",ROW($D$2:$D$501)-1),ROW()-1)),"")</f>
        <v/>
      </c>
      <c r="V423" t="str" cm="1">
        <f t="array" ref="V423">IFERROR(INDEX($C$2:$C$501,SMALL(IF($D$2:$D$501="Germany",ROW($D$2:$D$501)-1),ROW()-1)),"")</f>
        <v/>
      </c>
      <c r="W423" t="str" cm="1">
        <f t="array" ref="W423">IFERROR(INDEX($C$2:$C$501,SMALL(IF($D$2:$D$501="Spain",ROW($D$2:$D$501)-1),ROW()-1)),"")</f>
        <v/>
      </c>
    </row>
    <row r="424" spans="1:23" x14ac:dyDescent="0.35">
      <c r="A424">
        <v>423</v>
      </c>
      <c r="B424" t="s">
        <v>17</v>
      </c>
      <c r="C424">
        <v>715</v>
      </c>
      <c r="D424" t="s">
        <v>24</v>
      </c>
      <c r="E424" t="s">
        <v>26</v>
      </c>
      <c r="F424">
        <v>46</v>
      </c>
      <c r="G424">
        <v>6</v>
      </c>
      <c r="H424">
        <v>121208.33</v>
      </c>
      <c r="I424">
        <v>1</v>
      </c>
      <c r="J424">
        <v>1</v>
      </c>
      <c r="K424">
        <v>0</v>
      </c>
      <c r="L424">
        <v>32556.34</v>
      </c>
      <c r="M424">
        <v>1</v>
      </c>
      <c r="O424">
        <f t="shared" si="12"/>
        <v>32556.34</v>
      </c>
      <c r="P424" t="str">
        <f t="shared" si="13"/>
        <v/>
      </c>
      <c r="R424" t="str">
        <f t="array" ref="R424">IFERROR(INDEX($L$2:$L$501,SMALL(IF($M$2:$M$501=1,ROW($M$2:$M$501)-1),ROW()-1)),"")</f>
        <v/>
      </c>
      <c r="S424" t="str" cm="1">
        <f t="array" ref="S424">IFERROR(INDEX($L$2:$L$501,SMALL(IF($M$2:$M$501=0,ROW($M$2:$M$501)-1),ROW()-1)),"")</f>
        <v/>
      </c>
      <c r="U424" t="str" cm="1">
        <f t="array" ref="U424">IFERROR(INDEX($C$2:$C$501,SMALL(IF($D$2:$D$501="France",ROW($D$2:$D$501)-1),ROW()-1)),"")</f>
        <v/>
      </c>
      <c r="V424" t="str" cm="1">
        <f t="array" ref="V424">IFERROR(INDEX($C$2:$C$501,SMALL(IF($D$2:$D$501="Germany",ROW($D$2:$D$501)-1),ROW()-1)),"")</f>
        <v/>
      </c>
      <c r="W424" t="str" cm="1">
        <f t="array" ref="W424">IFERROR(INDEX($C$2:$C$501,SMALL(IF($D$2:$D$501="Spain",ROW($D$2:$D$501)-1),ROW()-1)),"")</f>
        <v/>
      </c>
    </row>
    <row r="425" spans="1:23" x14ac:dyDescent="0.35">
      <c r="A425">
        <v>424</v>
      </c>
      <c r="B425" t="s">
        <v>16</v>
      </c>
      <c r="C425">
        <v>665</v>
      </c>
      <c r="D425" t="s">
        <v>22</v>
      </c>
      <c r="E425" t="s">
        <v>25</v>
      </c>
      <c r="F425">
        <v>27</v>
      </c>
      <c r="G425">
        <v>9</v>
      </c>
      <c r="H425">
        <v>36155.39</v>
      </c>
      <c r="I425">
        <v>3</v>
      </c>
      <c r="J425">
        <v>0</v>
      </c>
      <c r="K425">
        <v>0</v>
      </c>
      <c r="L425">
        <v>122338.51</v>
      </c>
      <c r="M425">
        <v>1</v>
      </c>
      <c r="O425">
        <f t="shared" si="12"/>
        <v>122338.51</v>
      </c>
      <c r="P425" t="str">
        <f t="shared" si="13"/>
        <v/>
      </c>
      <c r="R425" t="str">
        <f t="array" ref="R425">IFERROR(INDEX($L$2:$L$501,SMALL(IF($M$2:$M$501=1,ROW($M$2:$M$501)-1),ROW()-1)),"")</f>
        <v/>
      </c>
      <c r="S425" t="str" cm="1">
        <f t="array" ref="S425">IFERROR(INDEX($L$2:$L$501,SMALL(IF($M$2:$M$501=0,ROW($M$2:$M$501)-1),ROW()-1)),"")</f>
        <v/>
      </c>
      <c r="U425" t="str" cm="1">
        <f t="array" ref="U425">IFERROR(INDEX($C$2:$C$501,SMALL(IF($D$2:$D$501="France",ROW($D$2:$D$501)-1),ROW()-1)),"")</f>
        <v/>
      </c>
      <c r="V425" t="str" cm="1">
        <f t="array" ref="V425">IFERROR(INDEX($C$2:$C$501,SMALL(IF($D$2:$D$501="Germany",ROW($D$2:$D$501)-1),ROW()-1)),"")</f>
        <v/>
      </c>
      <c r="W425" t="str" cm="1">
        <f t="array" ref="W425">IFERROR(INDEX($C$2:$C$501,SMALL(IF($D$2:$D$501="Spain",ROW($D$2:$D$501)-1),ROW()-1)),"")</f>
        <v/>
      </c>
    </row>
    <row r="426" spans="1:23" x14ac:dyDescent="0.35">
      <c r="A426">
        <v>425</v>
      </c>
      <c r="B426" t="s">
        <v>20</v>
      </c>
      <c r="C426">
        <v>462</v>
      </c>
      <c r="D426" t="s">
        <v>24</v>
      </c>
      <c r="E426" t="s">
        <v>25</v>
      </c>
      <c r="F426">
        <v>26</v>
      </c>
      <c r="G426">
        <v>9</v>
      </c>
      <c r="H426">
        <v>190443.29</v>
      </c>
      <c r="I426">
        <v>4</v>
      </c>
      <c r="J426">
        <v>1</v>
      </c>
      <c r="K426">
        <v>0</v>
      </c>
      <c r="L426">
        <v>77215.990000000005</v>
      </c>
      <c r="M426">
        <v>1</v>
      </c>
      <c r="O426">
        <f t="shared" si="12"/>
        <v>77215.990000000005</v>
      </c>
      <c r="P426" t="str">
        <f t="shared" si="13"/>
        <v/>
      </c>
      <c r="R426" t="str">
        <f t="array" ref="R426">IFERROR(INDEX($L$2:$L$501,SMALL(IF($M$2:$M$501=1,ROW($M$2:$M$501)-1),ROW()-1)),"")</f>
        <v/>
      </c>
      <c r="S426" t="str" cm="1">
        <f t="array" ref="S426">IFERROR(INDEX($L$2:$L$501,SMALL(IF($M$2:$M$501=0,ROW($M$2:$M$501)-1),ROW()-1)),"")</f>
        <v/>
      </c>
      <c r="U426" t="str" cm="1">
        <f t="array" ref="U426">IFERROR(INDEX($C$2:$C$501,SMALL(IF($D$2:$D$501="France",ROW($D$2:$D$501)-1),ROW()-1)),"")</f>
        <v/>
      </c>
      <c r="V426" t="str" cm="1">
        <f t="array" ref="V426">IFERROR(INDEX($C$2:$C$501,SMALL(IF($D$2:$D$501="Germany",ROW($D$2:$D$501)-1),ROW()-1)),"")</f>
        <v/>
      </c>
      <c r="W426" t="str" cm="1">
        <f t="array" ref="W426">IFERROR(INDEX($C$2:$C$501,SMALL(IF($D$2:$D$501="Spain",ROW($D$2:$D$501)-1),ROW()-1)),"")</f>
        <v/>
      </c>
    </row>
    <row r="427" spans="1:23" x14ac:dyDescent="0.35">
      <c r="A427">
        <v>426</v>
      </c>
      <c r="B427" t="s">
        <v>21</v>
      </c>
      <c r="C427">
        <v>771</v>
      </c>
      <c r="D427" t="s">
        <v>24</v>
      </c>
      <c r="E427" t="s">
        <v>26</v>
      </c>
      <c r="F427">
        <v>35</v>
      </c>
      <c r="G427">
        <v>3</v>
      </c>
      <c r="H427">
        <v>231139.73</v>
      </c>
      <c r="I427">
        <v>4</v>
      </c>
      <c r="J427">
        <v>1</v>
      </c>
      <c r="K427">
        <v>0</v>
      </c>
      <c r="L427">
        <v>19540.71</v>
      </c>
      <c r="M427">
        <v>1</v>
      </c>
      <c r="O427">
        <f t="shared" si="12"/>
        <v>19540.71</v>
      </c>
      <c r="P427" t="str">
        <f t="shared" si="13"/>
        <v/>
      </c>
      <c r="R427" t="str">
        <f t="array" ref="R427">IFERROR(INDEX($L$2:$L$501,SMALL(IF($M$2:$M$501=1,ROW($M$2:$M$501)-1),ROW()-1)),"")</f>
        <v/>
      </c>
      <c r="S427" t="str" cm="1">
        <f t="array" ref="S427">IFERROR(INDEX($L$2:$L$501,SMALL(IF($M$2:$M$501=0,ROW($M$2:$M$501)-1),ROW()-1)),"")</f>
        <v/>
      </c>
      <c r="U427" t="str" cm="1">
        <f t="array" ref="U427">IFERROR(INDEX($C$2:$C$501,SMALL(IF($D$2:$D$501="France",ROW($D$2:$D$501)-1),ROW()-1)),"")</f>
        <v/>
      </c>
      <c r="V427" t="str" cm="1">
        <f t="array" ref="V427">IFERROR(INDEX($C$2:$C$501,SMALL(IF($D$2:$D$501="Germany",ROW($D$2:$D$501)-1),ROW()-1)),"")</f>
        <v/>
      </c>
      <c r="W427" t="str" cm="1">
        <f t="array" ref="W427">IFERROR(INDEX($C$2:$C$501,SMALL(IF($D$2:$D$501="Spain",ROW($D$2:$D$501)-1),ROW()-1)),"")</f>
        <v/>
      </c>
    </row>
    <row r="428" spans="1:23" x14ac:dyDescent="0.35">
      <c r="A428">
        <v>427</v>
      </c>
      <c r="B428" t="s">
        <v>18</v>
      </c>
      <c r="C428">
        <v>418</v>
      </c>
      <c r="D428" t="s">
        <v>22</v>
      </c>
      <c r="E428" t="s">
        <v>26</v>
      </c>
      <c r="F428">
        <v>43</v>
      </c>
      <c r="G428">
        <v>7</v>
      </c>
      <c r="H428">
        <v>205080.33</v>
      </c>
      <c r="I428">
        <v>3</v>
      </c>
      <c r="J428">
        <v>0</v>
      </c>
      <c r="K428">
        <v>1</v>
      </c>
      <c r="L428">
        <v>22885.14</v>
      </c>
      <c r="M428">
        <v>1</v>
      </c>
      <c r="O428">
        <f t="shared" si="12"/>
        <v>22885.14</v>
      </c>
      <c r="P428" t="str">
        <f t="shared" si="13"/>
        <v/>
      </c>
      <c r="R428" t="str">
        <f t="array" ref="R428">IFERROR(INDEX($L$2:$L$501,SMALL(IF($M$2:$M$501=1,ROW($M$2:$M$501)-1),ROW()-1)),"")</f>
        <v/>
      </c>
      <c r="S428" t="str" cm="1">
        <f t="array" ref="S428">IFERROR(INDEX($L$2:$L$501,SMALL(IF($M$2:$M$501=0,ROW($M$2:$M$501)-1),ROW()-1)),"")</f>
        <v/>
      </c>
      <c r="U428" t="str" cm="1">
        <f t="array" ref="U428">IFERROR(INDEX($C$2:$C$501,SMALL(IF($D$2:$D$501="France",ROW($D$2:$D$501)-1),ROW()-1)),"")</f>
        <v/>
      </c>
      <c r="V428" t="str" cm="1">
        <f t="array" ref="V428">IFERROR(INDEX($C$2:$C$501,SMALL(IF($D$2:$D$501="Germany",ROW($D$2:$D$501)-1),ROW()-1)),"")</f>
        <v/>
      </c>
      <c r="W428" t="str" cm="1">
        <f t="array" ref="W428">IFERROR(INDEX($C$2:$C$501,SMALL(IF($D$2:$D$501="Spain",ROW($D$2:$D$501)-1),ROW()-1)),"")</f>
        <v/>
      </c>
    </row>
    <row r="429" spans="1:23" x14ac:dyDescent="0.35">
      <c r="A429">
        <v>428</v>
      </c>
      <c r="B429" t="s">
        <v>13</v>
      </c>
      <c r="C429">
        <v>787</v>
      </c>
      <c r="D429" t="s">
        <v>24</v>
      </c>
      <c r="E429" t="s">
        <v>26</v>
      </c>
      <c r="F429">
        <v>77</v>
      </c>
      <c r="G429">
        <v>4</v>
      </c>
      <c r="H429">
        <v>82614.73</v>
      </c>
      <c r="I429">
        <v>1</v>
      </c>
      <c r="J429">
        <v>1</v>
      </c>
      <c r="K429">
        <v>0</v>
      </c>
      <c r="L429">
        <v>90275.78</v>
      </c>
      <c r="M429">
        <v>0</v>
      </c>
      <c r="O429" t="str">
        <f t="shared" si="12"/>
        <v/>
      </c>
      <c r="P429">
        <f t="shared" si="13"/>
        <v>90275.78</v>
      </c>
      <c r="R429" t="str">
        <f t="array" ref="R429">IFERROR(INDEX($L$2:$L$501,SMALL(IF($M$2:$M$501=1,ROW($M$2:$M$501)-1),ROW()-1)),"")</f>
        <v/>
      </c>
      <c r="S429" t="str" cm="1">
        <f t="array" ref="S429">IFERROR(INDEX($L$2:$L$501,SMALL(IF($M$2:$M$501=0,ROW($M$2:$M$501)-1),ROW()-1)),"")</f>
        <v/>
      </c>
      <c r="U429" t="str" cm="1">
        <f t="array" ref="U429">IFERROR(INDEX($C$2:$C$501,SMALL(IF($D$2:$D$501="France",ROW($D$2:$D$501)-1),ROW()-1)),"")</f>
        <v/>
      </c>
      <c r="V429" t="str" cm="1">
        <f t="array" ref="V429">IFERROR(INDEX($C$2:$C$501,SMALL(IF($D$2:$D$501="Germany",ROW($D$2:$D$501)-1),ROW()-1)),"")</f>
        <v/>
      </c>
      <c r="W429" t="str" cm="1">
        <f t="array" ref="W429">IFERROR(INDEX($C$2:$C$501,SMALL(IF($D$2:$D$501="Spain",ROW($D$2:$D$501)-1),ROW()-1)),"")</f>
        <v/>
      </c>
    </row>
    <row r="430" spans="1:23" x14ac:dyDescent="0.35">
      <c r="A430">
        <v>429</v>
      </c>
      <c r="B430" t="s">
        <v>20</v>
      </c>
      <c r="C430">
        <v>363</v>
      </c>
      <c r="D430" t="s">
        <v>24</v>
      </c>
      <c r="E430" t="s">
        <v>26</v>
      </c>
      <c r="F430">
        <v>77</v>
      </c>
      <c r="G430">
        <v>0</v>
      </c>
      <c r="H430">
        <v>36501.089999999997</v>
      </c>
      <c r="I430">
        <v>2</v>
      </c>
      <c r="J430">
        <v>1</v>
      </c>
      <c r="K430">
        <v>1</v>
      </c>
      <c r="L430">
        <v>64420.160000000003</v>
      </c>
      <c r="M430">
        <v>1</v>
      </c>
      <c r="O430">
        <f t="shared" si="12"/>
        <v>64420.160000000003</v>
      </c>
      <c r="P430" t="str">
        <f t="shared" si="13"/>
        <v/>
      </c>
      <c r="R430" t="str">
        <f t="array" ref="R430">IFERROR(INDEX($L$2:$L$501,SMALL(IF($M$2:$M$501=1,ROW($M$2:$M$501)-1),ROW()-1)),"")</f>
        <v/>
      </c>
      <c r="S430" t="str" cm="1">
        <f t="array" ref="S430">IFERROR(INDEX($L$2:$L$501,SMALL(IF($M$2:$M$501=0,ROW($M$2:$M$501)-1),ROW()-1)),"")</f>
        <v/>
      </c>
      <c r="U430" t="str" cm="1">
        <f t="array" ref="U430">IFERROR(INDEX($C$2:$C$501,SMALL(IF($D$2:$D$501="France",ROW($D$2:$D$501)-1),ROW()-1)),"")</f>
        <v/>
      </c>
      <c r="V430" t="str" cm="1">
        <f t="array" ref="V430">IFERROR(INDEX($C$2:$C$501,SMALL(IF($D$2:$D$501="Germany",ROW($D$2:$D$501)-1),ROW()-1)),"")</f>
        <v/>
      </c>
      <c r="W430" t="str" cm="1">
        <f t="array" ref="W430">IFERROR(INDEX($C$2:$C$501,SMALL(IF($D$2:$D$501="Spain",ROW($D$2:$D$501)-1),ROW()-1)),"")</f>
        <v/>
      </c>
    </row>
    <row r="431" spans="1:23" x14ac:dyDescent="0.35">
      <c r="A431">
        <v>430</v>
      </c>
      <c r="B431" t="s">
        <v>14</v>
      </c>
      <c r="C431">
        <v>451</v>
      </c>
      <c r="D431" t="s">
        <v>22</v>
      </c>
      <c r="E431" t="s">
        <v>25</v>
      </c>
      <c r="F431">
        <v>76</v>
      </c>
      <c r="G431">
        <v>10</v>
      </c>
      <c r="H431">
        <v>1978.31</v>
      </c>
      <c r="I431">
        <v>2</v>
      </c>
      <c r="J431">
        <v>1</v>
      </c>
      <c r="K431">
        <v>0</v>
      </c>
      <c r="L431">
        <v>19915.18</v>
      </c>
      <c r="M431">
        <v>1</v>
      </c>
      <c r="O431">
        <f t="shared" si="12"/>
        <v>19915.18</v>
      </c>
      <c r="P431" t="str">
        <f t="shared" si="13"/>
        <v/>
      </c>
      <c r="R431" t="str">
        <f t="array" ref="R431">IFERROR(INDEX($L$2:$L$501,SMALL(IF($M$2:$M$501=1,ROW($M$2:$M$501)-1),ROW()-1)),"")</f>
        <v/>
      </c>
      <c r="S431" t="str" cm="1">
        <f t="array" ref="S431">IFERROR(INDEX($L$2:$L$501,SMALL(IF($M$2:$M$501=0,ROW($M$2:$M$501)-1),ROW()-1)),"")</f>
        <v/>
      </c>
      <c r="U431" t="str" cm="1">
        <f t="array" ref="U431">IFERROR(INDEX($C$2:$C$501,SMALL(IF($D$2:$D$501="France",ROW($D$2:$D$501)-1),ROW()-1)),"")</f>
        <v/>
      </c>
      <c r="V431" t="str" cm="1">
        <f t="array" ref="V431">IFERROR(INDEX($C$2:$C$501,SMALL(IF($D$2:$D$501="Germany",ROW($D$2:$D$501)-1),ROW()-1)),"")</f>
        <v/>
      </c>
      <c r="W431" t="str" cm="1">
        <f t="array" ref="W431">IFERROR(INDEX($C$2:$C$501,SMALL(IF($D$2:$D$501="Spain",ROW($D$2:$D$501)-1),ROW()-1)),"")</f>
        <v/>
      </c>
    </row>
    <row r="432" spans="1:23" x14ac:dyDescent="0.35">
      <c r="A432">
        <v>431</v>
      </c>
      <c r="B432" t="s">
        <v>16</v>
      </c>
      <c r="C432">
        <v>625</v>
      </c>
      <c r="D432" t="s">
        <v>24</v>
      </c>
      <c r="E432" t="s">
        <v>25</v>
      </c>
      <c r="F432">
        <v>36</v>
      </c>
      <c r="G432">
        <v>0</v>
      </c>
      <c r="H432">
        <v>165914.53</v>
      </c>
      <c r="I432">
        <v>2</v>
      </c>
      <c r="J432">
        <v>1</v>
      </c>
      <c r="K432">
        <v>0</v>
      </c>
      <c r="L432">
        <v>71091.44</v>
      </c>
      <c r="M432">
        <v>0</v>
      </c>
      <c r="O432" t="str">
        <f t="shared" si="12"/>
        <v/>
      </c>
      <c r="P432">
        <f t="shared" si="13"/>
        <v>71091.44</v>
      </c>
      <c r="R432" t="str">
        <f t="array" ref="R432">IFERROR(INDEX($L$2:$L$501,SMALL(IF($M$2:$M$501=1,ROW($M$2:$M$501)-1),ROW()-1)),"")</f>
        <v/>
      </c>
      <c r="S432" t="str" cm="1">
        <f t="array" ref="S432">IFERROR(INDEX($L$2:$L$501,SMALL(IF($M$2:$M$501=0,ROW($M$2:$M$501)-1),ROW()-1)),"")</f>
        <v/>
      </c>
      <c r="U432" t="str" cm="1">
        <f t="array" ref="U432">IFERROR(INDEX($C$2:$C$501,SMALL(IF($D$2:$D$501="France",ROW($D$2:$D$501)-1),ROW()-1)),"")</f>
        <v/>
      </c>
      <c r="V432" t="str" cm="1">
        <f t="array" ref="V432">IFERROR(INDEX($C$2:$C$501,SMALL(IF($D$2:$D$501="Germany",ROW($D$2:$D$501)-1),ROW()-1)),"")</f>
        <v/>
      </c>
      <c r="W432" t="str" cm="1">
        <f t="array" ref="W432">IFERROR(INDEX($C$2:$C$501,SMALL(IF($D$2:$D$501="Spain",ROW($D$2:$D$501)-1),ROW()-1)),"")</f>
        <v/>
      </c>
    </row>
    <row r="433" spans="1:23" x14ac:dyDescent="0.35">
      <c r="A433">
        <v>432</v>
      </c>
      <c r="B433" t="s">
        <v>12</v>
      </c>
      <c r="C433">
        <v>713</v>
      </c>
      <c r="D433" t="s">
        <v>22</v>
      </c>
      <c r="E433" t="s">
        <v>26</v>
      </c>
      <c r="F433">
        <v>30</v>
      </c>
      <c r="G433">
        <v>0</v>
      </c>
      <c r="H433">
        <v>46903.02</v>
      </c>
      <c r="I433">
        <v>2</v>
      </c>
      <c r="J433">
        <v>1</v>
      </c>
      <c r="K433">
        <v>1</v>
      </c>
      <c r="L433">
        <v>120900.9</v>
      </c>
      <c r="M433">
        <v>0</v>
      </c>
      <c r="O433" t="str">
        <f t="shared" si="12"/>
        <v/>
      </c>
      <c r="P433">
        <f t="shared" si="13"/>
        <v>120900.9</v>
      </c>
      <c r="R433" t="str">
        <f t="array" ref="R433">IFERROR(INDEX($L$2:$L$501,SMALL(IF($M$2:$M$501=1,ROW($M$2:$M$501)-1),ROW()-1)),"")</f>
        <v/>
      </c>
      <c r="S433" t="str" cm="1">
        <f t="array" ref="S433">IFERROR(INDEX($L$2:$L$501,SMALL(IF($M$2:$M$501=0,ROW($M$2:$M$501)-1),ROW()-1)),"")</f>
        <v/>
      </c>
      <c r="U433" t="str" cm="1">
        <f t="array" ref="U433">IFERROR(INDEX($C$2:$C$501,SMALL(IF($D$2:$D$501="France",ROW($D$2:$D$501)-1),ROW()-1)),"")</f>
        <v/>
      </c>
      <c r="V433" t="str" cm="1">
        <f t="array" ref="V433">IFERROR(INDEX($C$2:$C$501,SMALL(IF($D$2:$D$501="Germany",ROW($D$2:$D$501)-1),ROW()-1)),"")</f>
        <v/>
      </c>
      <c r="W433" t="str" cm="1">
        <f t="array" ref="W433">IFERROR(INDEX($C$2:$C$501,SMALL(IF($D$2:$D$501="Spain",ROW($D$2:$D$501)-1),ROW()-1)),"")</f>
        <v/>
      </c>
    </row>
    <row r="434" spans="1:23" x14ac:dyDescent="0.35">
      <c r="A434">
        <v>433</v>
      </c>
      <c r="B434" t="s">
        <v>12</v>
      </c>
      <c r="C434">
        <v>614</v>
      </c>
      <c r="D434" t="s">
        <v>24</v>
      </c>
      <c r="E434" t="s">
        <v>25</v>
      </c>
      <c r="F434">
        <v>19</v>
      </c>
      <c r="G434">
        <v>0</v>
      </c>
      <c r="H434">
        <v>179138.58</v>
      </c>
      <c r="I434">
        <v>2</v>
      </c>
      <c r="J434">
        <v>0</v>
      </c>
      <c r="K434">
        <v>0</v>
      </c>
      <c r="L434">
        <v>40101.64</v>
      </c>
      <c r="M434">
        <v>1</v>
      </c>
      <c r="O434">
        <f t="shared" si="12"/>
        <v>40101.64</v>
      </c>
      <c r="P434" t="str">
        <f t="shared" si="13"/>
        <v/>
      </c>
      <c r="R434" t="str">
        <f t="array" ref="R434">IFERROR(INDEX($L$2:$L$501,SMALL(IF($M$2:$M$501=1,ROW($M$2:$M$501)-1),ROW()-1)),"")</f>
        <v/>
      </c>
      <c r="S434" t="str" cm="1">
        <f t="array" ref="S434">IFERROR(INDEX($L$2:$L$501,SMALL(IF($M$2:$M$501=0,ROW($M$2:$M$501)-1),ROW()-1)),"")</f>
        <v/>
      </c>
      <c r="U434" t="str" cm="1">
        <f t="array" ref="U434">IFERROR(INDEX($C$2:$C$501,SMALL(IF($D$2:$D$501="France",ROW($D$2:$D$501)-1),ROW()-1)),"")</f>
        <v/>
      </c>
      <c r="V434" t="str" cm="1">
        <f t="array" ref="V434">IFERROR(INDEX($C$2:$C$501,SMALL(IF($D$2:$D$501="Germany",ROW($D$2:$D$501)-1),ROW()-1)),"")</f>
        <v/>
      </c>
      <c r="W434" t="str" cm="1">
        <f t="array" ref="W434">IFERROR(INDEX($C$2:$C$501,SMALL(IF($D$2:$D$501="Spain",ROW($D$2:$D$501)-1),ROW()-1)),"")</f>
        <v/>
      </c>
    </row>
    <row r="435" spans="1:23" x14ac:dyDescent="0.35">
      <c r="A435">
        <v>434</v>
      </c>
      <c r="B435" t="s">
        <v>21</v>
      </c>
      <c r="C435">
        <v>702</v>
      </c>
      <c r="D435" t="s">
        <v>24</v>
      </c>
      <c r="E435" t="s">
        <v>25</v>
      </c>
      <c r="F435">
        <v>45</v>
      </c>
      <c r="G435">
        <v>4</v>
      </c>
      <c r="H435">
        <v>143858.20000000001</v>
      </c>
      <c r="I435">
        <v>3</v>
      </c>
      <c r="J435">
        <v>0</v>
      </c>
      <c r="K435">
        <v>1</v>
      </c>
      <c r="L435">
        <v>111156.24</v>
      </c>
      <c r="M435">
        <v>1</v>
      </c>
      <c r="O435">
        <f t="shared" si="12"/>
        <v>111156.24</v>
      </c>
      <c r="P435" t="str">
        <f t="shared" si="13"/>
        <v/>
      </c>
      <c r="R435" t="str">
        <f t="array" ref="R435">IFERROR(INDEX($L$2:$L$501,SMALL(IF($M$2:$M$501=1,ROW($M$2:$M$501)-1),ROW()-1)),"")</f>
        <v/>
      </c>
      <c r="S435" t="str" cm="1">
        <f t="array" ref="S435">IFERROR(INDEX($L$2:$L$501,SMALL(IF($M$2:$M$501=0,ROW($M$2:$M$501)-1),ROW()-1)),"")</f>
        <v/>
      </c>
      <c r="U435" t="str" cm="1">
        <f t="array" ref="U435">IFERROR(INDEX($C$2:$C$501,SMALL(IF($D$2:$D$501="France",ROW($D$2:$D$501)-1),ROW()-1)),"")</f>
        <v/>
      </c>
      <c r="V435" t="str" cm="1">
        <f t="array" ref="V435">IFERROR(INDEX($C$2:$C$501,SMALL(IF($D$2:$D$501="Germany",ROW($D$2:$D$501)-1),ROW()-1)),"")</f>
        <v/>
      </c>
      <c r="W435" t="str" cm="1">
        <f t="array" ref="W435">IFERROR(INDEX($C$2:$C$501,SMALL(IF($D$2:$D$501="Spain",ROW($D$2:$D$501)-1),ROW()-1)),"")</f>
        <v/>
      </c>
    </row>
    <row r="436" spans="1:23" x14ac:dyDescent="0.35">
      <c r="A436">
        <v>435</v>
      </c>
      <c r="B436" t="s">
        <v>15</v>
      </c>
      <c r="C436">
        <v>559</v>
      </c>
      <c r="D436" t="s">
        <v>22</v>
      </c>
      <c r="E436" t="s">
        <v>25</v>
      </c>
      <c r="F436">
        <v>28</v>
      </c>
      <c r="G436">
        <v>5</v>
      </c>
      <c r="H436">
        <v>117504.37</v>
      </c>
      <c r="I436">
        <v>3</v>
      </c>
      <c r="J436">
        <v>1</v>
      </c>
      <c r="K436">
        <v>1</v>
      </c>
      <c r="L436">
        <v>69683.199999999997</v>
      </c>
      <c r="M436">
        <v>1</v>
      </c>
      <c r="O436">
        <f t="shared" si="12"/>
        <v>69683.199999999997</v>
      </c>
      <c r="P436" t="str">
        <f t="shared" si="13"/>
        <v/>
      </c>
      <c r="R436" t="str">
        <f t="array" ref="R436">IFERROR(INDEX($L$2:$L$501,SMALL(IF($M$2:$M$501=1,ROW($M$2:$M$501)-1),ROW()-1)),"")</f>
        <v/>
      </c>
      <c r="S436" t="str" cm="1">
        <f t="array" ref="S436">IFERROR(INDEX($L$2:$L$501,SMALL(IF($M$2:$M$501=0,ROW($M$2:$M$501)-1),ROW()-1)),"")</f>
        <v/>
      </c>
      <c r="U436" t="str" cm="1">
        <f t="array" ref="U436">IFERROR(INDEX($C$2:$C$501,SMALL(IF($D$2:$D$501="France",ROW($D$2:$D$501)-1),ROW()-1)),"")</f>
        <v/>
      </c>
      <c r="V436" t="str" cm="1">
        <f t="array" ref="V436">IFERROR(INDEX($C$2:$C$501,SMALL(IF($D$2:$D$501="Germany",ROW($D$2:$D$501)-1),ROW()-1)),"")</f>
        <v/>
      </c>
      <c r="W436" t="str" cm="1">
        <f t="array" ref="W436">IFERROR(INDEX($C$2:$C$501,SMALL(IF($D$2:$D$501="Spain",ROW($D$2:$D$501)-1),ROW()-1)),"")</f>
        <v/>
      </c>
    </row>
    <row r="437" spans="1:23" x14ac:dyDescent="0.35">
      <c r="A437">
        <v>436</v>
      </c>
      <c r="B437" t="s">
        <v>20</v>
      </c>
      <c r="C437">
        <v>547</v>
      </c>
      <c r="D437" t="s">
        <v>23</v>
      </c>
      <c r="E437" t="s">
        <v>25</v>
      </c>
      <c r="F437">
        <v>85</v>
      </c>
      <c r="G437">
        <v>5</v>
      </c>
      <c r="H437">
        <v>191884.81</v>
      </c>
      <c r="I437">
        <v>1</v>
      </c>
      <c r="J437">
        <v>1</v>
      </c>
      <c r="K437">
        <v>1</v>
      </c>
      <c r="L437">
        <v>56017.64</v>
      </c>
      <c r="M437">
        <v>1</v>
      </c>
      <c r="O437">
        <f t="shared" si="12"/>
        <v>56017.64</v>
      </c>
      <c r="P437" t="str">
        <f t="shared" si="13"/>
        <v/>
      </c>
      <c r="R437" t="str">
        <f t="array" ref="R437">IFERROR(INDEX($L$2:$L$501,SMALL(IF($M$2:$M$501=1,ROW($M$2:$M$501)-1),ROW()-1)),"")</f>
        <v/>
      </c>
      <c r="S437" t="str" cm="1">
        <f t="array" ref="S437">IFERROR(INDEX($L$2:$L$501,SMALL(IF($M$2:$M$501=0,ROW($M$2:$M$501)-1),ROW()-1)),"")</f>
        <v/>
      </c>
      <c r="U437" t="str" cm="1">
        <f t="array" ref="U437">IFERROR(INDEX($C$2:$C$501,SMALL(IF($D$2:$D$501="France",ROW($D$2:$D$501)-1),ROW()-1)),"")</f>
        <v/>
      </c>
      <c r="V437" t="str" cm="1">
        <f t="array" ref="V437">IFERROR(INDEX($C$2:$C$501,SMALL(IF($D$2:$D$501="Germany",ROW($D$2:$D$501)-1),ROW()-1)),"")</f>
        <v/>
      </c>
      <c r="W437" t="str" cm="1">
        <f t="array" ref="W437">IFERROR(INDEX($C$2:$C$501,SMALL(IF($D$2:$D$501="Spain",ROW($D$2:$D$501)-1),ROW()-1)),"")</f>
        <v/>
      </c>
    </row>
    <row r="438" spans="1:23" x14ac:dyDescent="0.35">
      <c r="A438">
        <v>437</v>
      </c>
      <c r="B438" t="s">
        <v>19</v>
      </c>
      <c r="C438">
        <v>730</v>
      </c>
      <c r="D438" t="s">
        <v>22</v>
      </c>
      <c r="E438" t="s">
        <v>25</v>
      </c>
      <c r="F438">
        <v>79</v>
      </c>
      <c r="G438">
        <v>9</v>
      </c>
      <c r="H438">
        <v>245266.56</v>
      </c>
      <c r="I438">
        <v>4</v>
      </c>
      <c r="J438">
        <v>1</v>
      </c>
      <c r="K438">
        <v>1</v>
      </c>
      <c r="L438">
        <v>68485.740000000005</v>
      </c>
      <c r="M438">
        <v>1</v>
      </c>
      <c r="O438">
        <f t="shared" si="12"/>
        <v>68485.740000000005</v>
      </c>
      <c r="P438" t="str">
        <f t="shared" si="13"/>
        <v/>
      </c>
      <c r="R438" t="str">
        <f t="array" ref="R438">IFERROR(INDEX($L$2:$L$501,SMALL(IF($M$2:$M$501=1,ROW($M$2:$M$501)-1),ROW()-1)),"")</f>
        <v/>
      </c>
      <c r="S438" t="str" cm="1">
        <f t="array" ref="S438">IFERROR(INDEX($L$2:$L$501,SMALL(IF($M$2:$M$501=0,ROW($M$2:$M$501)-1),ROW()-1)),"")</f>
        <v/>
      </c>
      <c r="U438" t="str" cm="1">
        <f t="array" ref="U438">IFERROR(INDEX($C$2:$C$501,SMALL(IF($D$2:$D$501="France",ROW($D$2:$D$501)-1),ROW()-1)),"")</f>
        <v/>
      </c>
      <c r="V438" t="str" cm="1">
        <f t="array" ref="V438">IFERROR(INDEX($C$2:$C$501,SMALL(IF($D$2:$D$501="Germany",ROW($D$2:$D$501)-1),ROW()-1)),"")</f>
        <v/>
      </c>
      <c r="W438" t="str" cm="1">
        <f t="array" ref="W438">IFERROR(INDEX($C$2:$C$501,SMALL(IF($D$2:$D$501="Spain",ROW($D$2:$D$501)-1),ROW()-1)),"")</f>
        <v/>
      </c>
    </row>
    <row r="439" spans="1:23" x14ac:dyDescent="0.35">
      <c r="A439">
        <v>438</v>
      </c>
      <c r="B439" t="s">
        <v>18</v>
      </c>
      <c r="C439">
        <v>450</v>
      </c>
      <c r="D439" t="s">
        <v>23</v>
      </c>
      <c r="E439" t="s">
        <v>26</v>
      </c>
      <c r="F439">
        <v>34</v>
      </c>
      <c r="G439">
        <v>2</v>
      </c>
      <c r="H439">
        <v>32148.54</v>
      </c>
      <c r="I439">
        <v>2</v>
      </c>
      <c r="J439">
        <v>0</v>
      </c>
      <c r="K439">
        <v>1</v>
      </c>
      <c r="L439">
        <v>99026.41</v>
      </c>
      <c r="M439">
        <v>0</v>
      </c>
      <c r="O439" t="str">
        <f t="shared" si="12"/>
        <v/>
      </c>
      <c r="P439">
        <f t="shared" si="13"/>
        <v>99026.41</v>
      </c>
      <c r="R439" t="str">
        <f t="array" ref="R439">IFERROR(INDEX($L$2:$L$501,SMALL(IF($M$2:$M$501=1,ROW($M$2:$M$501)-1),ROW()-1)),"")</f>
        <v/>
      </c>
      <c r="S439" t="str" cm="1">
        <f t="array" ref="S439">IFERROR(INDEX($L$2:$L$501,SMALL(IF($M$2:$M$501=0,ROW($M$2:$M$501)-1),ROW()-1)),"")</f>
        <v/>
      </c>
      <c r="U439" t="str" cm="1">
        <f t="array" ref="U439">IFERROR(INDEX($C$2:$C$501,SMALL(IF($D$2:$D$501="France",ROW($D$2:$D$501)-1),ROW()-1)),"")</f>
        <v/>
      </c>
      <c r="V439" t="str" cm="1">
        <f t="array" ref="V439">IFERROR(INDEX($C$2:$C$501,SMALL(IF($D$2:$D$501="Germany",ROW($D$2:$D$501)-1),ROW()-1)),"")</f>
        <v/>
      </c>
      <c r="W439" t="str" cm="1">
        <f t="array" ref="W439">IFERROR(INDEX($C$2:$C$501,SMALL(IF($D$2:$D$501="Spain",ROW($D$2:$D$501)-1),ROW()-1)),"")</f>
        <v/>
      </c>
    </row>
    <row r="440" spans="1:23" x14ac:dyDescent="0.35">
      <c r="A440">
        <v>439</v>
      </c>
      <c r="B440" t="s">
        <v>15</v>
      </c>
      <c r="C440">
        <v>735</v>
      </c>
      <c r="D440" t="s">
        <v>23</v>
      </c>
      <c r="E440" t="s">
        <v>26</v>
      </c>
      <c r="F440">
        <v>45</v>
      </c>
      <c r="G440">
        <v>10</v>
      </c>
      <c r="H440">
        <v>137629.67000000001</v>
      </c>
      <c r="I440">
        <v>4</v>
      </c>
      <c r="J440">
        <v>0</v>
      </c>
      <c r="K440">
        <v>1</v>
      </c>
      <c r="L440">
        <v>63609.91</v>
      </c>
      <c r="M440">
        <v>0</v>
      </c>
      <c r="O440" t="str">
        <f t="shared" si="12"/>
        <v/>
      </c>
      <c r="P440">
        <f t="shared" si="13"/>
        <v>63609.91</v>
      </c>
      <c r="R440" t="str">
        <f t="array" ref="R440">IFERROR(INDEX($L$2:$L$501,SMALL(IF($M$2:$M$501=1,ROW($M$2:$M$501)-1),ROW()-1)),"")</f>
        <v/>
      </c>
      <c r="S440" t="str" cm="1">
        <f t="array" ref="S440">IFERROR(INDEX($L$2:$L$501,SMALL(IF($M$2:$M$501=0,ROW($M$2:$M$501)-1),ROW()-1)),"")</f>
        <v/>
      </c>
      <c r="U440" t="str" cm="1">
        <f t="array" ref="U440">IFERROR(INDEX($C$2:$C$501,SMALL(IF($D$2:$D$501="France",ROW($D$2:$D$501)-1),ROW()-1)),"")</f>
        <v/>
      </c>
      <c r="V440" t="str" cm="1">
        <f t="array" ref="V440">IFERROR(INDEX($C$2:$C$501,SMALL(IF($D$2:$D$501="Germany",ROW($D$2:$D$501)-1),ROW()-1)),"")</f>
        <v/>
      </c>
      <c r="W440" t="str" cm="1">
        <f t="array" ref="W440">IFERROR(INDEX($C$2:$C$501,SMALL(IF($D$2:$D$501="Spain",ROW($D$2:$D$501)-1),ROW()-1)),"")</f>
        <v/>
      </c>
    </row>
    <row r="441" spans="1:23" x14ac:dyDescent="0.35">
      <c r="A441">
        <v>440</v>
      </c>
      <c r="B441" t="s">
        <v>14</v>
      </c>
      <c r="C441">
        <v>603</v>
      </c>
      <c r="D441" t="s">
        <v>24</v>
      </c>
      <c r="E441" t="s">
        <v>25</v>
      </c>
      <c r="F441">
        <v>24</v>
      </c>
      <c r="G441">
        <v>0</v>
      </c>
      <c r="H441">
        <v>78305.72</v>
      </c>
      <c r="I441">
        <v>2</v>
      </c>
      <c r="J441">
        <v>0</v>
      </c>
      <c r="K441">
        <v>1</v>
      </c>
      <c r="L441">
        <v>84684</v>
      </c>
      <c r="M441">
        <v>0</v>
      </c>
      <c r="O441" t="str">
        <f t="shared" si="12"/>
        <v/>
      </c>
      <c r="P441">
        <f t="shared" si="13"/>
        <v>84684</v>
      </c>
      <c r="R441" t="str">
        <f t="array" ref="R441">IFERROR(INDEX($L$2:$L$501,SMALL(IF($M$2:$M$501=1,ROW($M$2:$M$501)-1),ROW()-1)),"")</f>
        <v/>
      </c>
      <c r="S441" t="str" cm="1">
        <f t="array" ref="S441">IFERROR(INDEX($L$2:$L$501,SMALL(IF($M$2:$M$501=0,ROW($M$2:$M$501)-1),ROW()-1)),"")</f>
        <v/>
      </c>
      <c r="U441" t="str" cm="1">
        <f t="array" ref="U441">IFERROR(INDEX($C$2:$C$501,SMALL(IF($D$2:$D$501="France",ROW($D$2:$D$501)-1),ROW()-1)),"")</f>
        <v/>
      </c>
      <c r="V441" t="str" cm="1">
        <f t="array" ref="V441">IFERROR(INDEX($C$2:$C$501,SMALL(IF($D$2:$D$501="Germany",ROW($D$2:$D$501)-1),ROW()-1)),"")</f>
        <v/>
      </c>
      <c r="W441" t="str" cm="1">
        <f t="array" ref="W441">IFERROR(INDEX($C$2:$C$501,SMALL(IF($D$2:$D$501="Spain",ROW($D$2:$D$501)-1),ROW()-1)),"")</f>
        <v/>
      </c>
    </row>
    <row r="442" spans="1:23" x14ac:dyDescent="0.35">
      <c r="A442">
        <v>441</v>
      </c>
      <c r="B442" t="s">
        <v>12</v>
      </c>
      <c r="C442">
        <v>507</v>
      </c>
      <c r="D442" t="s">
        <v>22</v>
      </c>
      <c r="E442" t="s">
        <v>26</v>
      </c>
      <c r="F442">
        <v>18</v>
      </c>
      <c r="G442">
        <v>7</v>
      </c>
      <c r="H442">
        <v>6988.85</v>
      </c>
      <c r="I442">
        <v>2</v>
      </c>
      <c r="J442">
        <v>1</v>
      </c>
      <c r="K442">
        <v>1</v>
      </c>
      <c r="L442">
        <v>20477.41</v>
      </c>
      <c r="M442">
        <v>1</v>
      </c>
      <c r="O442">
        <f t="shared" si="12"/>
        <v>20477.41</v>
      </c>
      <c r="P442" t="str">
        <f t="shared" si="13"/>
        <v/>
      </c>
      <c r="R442" t="str">
        <f t="array" ref="R442">IFERROR(INDEX($L$2:$L$501,SMALL(IF($M$2:$M$501=1,ROW($M$2:$M$501)-1),ROW()-1)),"")</f>
        <v/>
      </c>
      <c r="S442" t="str" cm="1">
        <f t="array" ref="S442">IFERROR(INDEX($L$2:$L$501,SMALL(IF($M$2:$M$501=0,ROW($M$2:$M$501)-1),ROW()-1)),"")</f>
        <v/>
      </c>
      <c r="U442" t="str" cm="1">
        <f t="array" ref="U442">IFERROR(INDEX($C$2:$C$501,SMALL(IF($D$2:$D$501="France",ROW($D$2:$D$501)-1),ROW()-1)),"")</f>
        <v/>
      </c>
      <c r="V442" t="str" cm="1">
        <f t="array" ref="V442">IFERROR(INDEX($C$2:$C$501,SMALL(IF($D$2:$D$501="Germany",ROW($D$2:$D$501)-1),ROW()-1)),"")</f>
        <v/>
      </c>
      <c r="W442" t="str" cm="1">
        <f t="array" ref="W442">IFERROR(INDEX($C$2:$C$501,SMALL(IF($D$2:$D$501="Spain",ROW($D$2:$D$501)-1),ROW()-1)),"")</f>
        <v/>
      </c>
    </row>
    <row r="443" spans="1:23" x14ac:dyDescent="0.35">
      <c r="A443">
        <v>442</v>
      </c>
      <c r="B443" t="s">
        <v>14</v>
      </c>
      <c r="C443">
        <v>739</v>
      </c>
      <c r="D443" t="s">
        <v>23</v>
      </c>
      <c r="E443" t="s">
        <v>25</v>
      </c>
      <c r="F443">
        <v>25</v>
      </c>
      <c r="G443">
        <v>1</v>
      </c>
      <c r="H443">
        <v>7336.57</v>
      </c>
      <c r="I443">
        <v>3</v>
      </c>
      <c r="J443">
        <v>1</v>
      </c>
      <c r="K443">
        <v>0</v>
      </c>
      <c r="L443">
        <v>102957.36</v>
      </c>
      <c r="M443">
        <v>1</v>
      </c>
      <c r="O443">
        <f t="shared" si="12"/>
        <v>102957.36</v>
      </c>
      <c r="P443" t="str">
        <f t="shared" si="13"/>
        <v/>
      </c>
      <c r="R443" t="str">
        <f t="array" ref="R443">IFERROR(INDEX($L$2:$L$501,SMALL(IF($M$2:$M$501=1,ROW($M$2:$M$501)-1),ROW()-1)),"")</f>
        <v/>
      </c>
      <c r="S443" t="str" cm="1">
        <f t="array" ref="S443">IFERROR(INDEX($L$2:$L$501,SMALL(IF($M$2:$M$501=0,ROW($M$2:$M$501)-1),ROW()-1)),"")</f>
        <v/>
      </c>
      <c r="U443" t="str" cm="1">
        <f t="array" ref="U443">IFERROR(INDEX($C$2:$C$501,SMALL(IF($D$2:$D$501="France",ROW($D$2:$D$501)-1),ROW()-1)),"")</f>
        <v/>
      </c>
      <c r="V443" t="str" cm="1">
        <f t="array" ref="V443">IFERROR(INDEX($C$2:$C$501,SMALL(IF($D$2:$D$501="Germany",ROW($D$2:$D$501)-1),ROW()-1)),"")</f>
        <v/>
      </c>
      <c r="W443" t="str" cm="1">
        <f t="array" ref="W443">IFERROR(INDEX($C$2:$C$501,SMALL(IF($D$2:$D$501="Spain",ROW($D$2:$D$501)-1),ROW()-1)),"")</f>
        <v/>
      </c>
    </row>
    <row r="444" spans="1:23" x14ac:dyDescent="0.35">
      <c r="A444">
        <v>443</v>
      </c>
      <c r="B444" t="s">
        <v>19</v>
      </c>
      <c r="C444">
        <v>814</v>
      </c>
      <c r="D444" t="s">
        <v>23</v>
      </c>
      <c r="E444" t="s">
        <v>25</v>
      </c>
      <c r="F444">
        <v>43</v>
      </c>
      <c r="G444">
        <v>9</v>
      </c>
      <c r="H444">
        <v>144405.5</v>
      </c>
      <c r="I444">
        <v>1</v>
      </c>
      <c r="J444">
        <v>0</v>
      </c>
      <c r="K444">
        <v>1</v>
      </c>
      <c r="L444">
        <v>30241.09</v>
      </c>
      <c r="M444">
        <v>1</v>
      </c>
      <c r="O444">
        <f t="shared" si="12"/>
        <v>30241.09</v>
      </c>
      <c r="P444" t="str">
        <f t="shared" si="13"/>
        <v/>
      </c>
      <c r="R444" t="str">
        <f t="array" ref="R444">IFERROR(INDEX($L$2:$L$501,SMALL(IF($M$2:$M$501=1,ROW($M$2:$M$501)-1),ROW()-1)),"")</f>
        <v/>
      </c>
      <c r="S444" t="str" cm="1">
        <f t="array" ref="S444">IFERROR(INDEX($L$2:$L$501,SMALL(IF($M$2:$M$501=0,ROW($M$2:$M$501)-1),ROW()-1)),"")</f>
        <v/>
      </c>
      <c r="U444" t="str" cm="1">
        <f t="array" ref="U444">IFERROR(INDEX($C$2:$C$501,SMALL(IF($D$2:$D$501="France",ROW($D$2:$D$501)-1),ROW()-1)),"")</f>
        <v/>
      </c>
      <c r="V444" t="str" cm="1">
        <f t="array" ref="V444">IFERROR(INDEX($C$2:$C$501,SMALL(IF($D$2:$D$501="Germany",ROW($D$2:$D$501)-1),ROW()-1)),"")</f>
        <v/>
      </c>
      <c r="W444" t="str" cm="1">
        <f t="array" ref="W444">IFERROR(INDEX($C$2:$C$501,SMALL(IF($D$2:$D$501="Spain",ROW($D$2:$D$501)-1),ROW()-1)),"")</f>
        <v/>
      </c>
    </row>
    <row r="445" spans="1:23" x14ac:dyDescent="0.35">
      <c r="A445">
        <v>444</v>
      </c>
      <c r="B445" t="s">
        <v>18</v>
      </c>
      <c r="C445">
        <v>580</v>
      </c>
      <c r="D445" t="s">
        <v>23</v>
      </c>
      <c r="E445" t="s">
        <v>25</v>
      </c>
      <c r="F445">
        <v>85</v>
      </c>
      <c r="G445">
        <v>9</v>
      </c>
      <c r="H445">
        <v>20728.86</v>
      </c>
      <c r="I445">
        <v>2</v>
      </c>
      <c r="J445">
        <v>0</v>
      </c>
      <c r="K445">
        <v>1</v>
      </c>
      <c r="L445">
        <v>33648.46</v>
      </c>
      <c r="M445">
        <v>1</v>
      </c>
      <c r="O445">
        <f t="shared" si="12"/>
        <v>33648.46</v>
      </c>
      <c r="P445" t="str">
        <f t="shared" si="13"/>
        <v/>
      </c>
      <c r="R445" t="str">
        <f t="array" ref="R445">IFERROR(INDEX($L$2:$L$501,SMALL(IF($M$2:$M$501=1,ROW($M$2:$M$501)-1),ROW()-1)),"")</f>
        <v/>
      </c>
      <c r="S445" t="str" cm="1">
        <f t="array" ref="S445">IFERROR(INDEX($L$2:$L$501,SMALL(IF($M$2:$M$501=0,ROW($M$2:$M$501)-1),ROW()-1)),"")</f>
        <v/>
      </c>
      <c r="U445" t="str" cm="1">
        <f t="array" ref="U445">IFERROR(INDEX($C$2:$C$501,SMALL(IF($D$2:$D$501="France",ROW($D$2:$D$501)-1),ROW()-1)),"")</f>
        <v/>
      </c>
      <c r="V445" t="str" cm="1">
        <f t="array" ref="V445">IFERROR(INDEX($C$2:$C$501,SMALL(IF($D$2:$D$501="Germany",ROW($D$2:$D$501)-1),ROW()-1)),"")</f>
        <v/>
      </c>
      <c r="W445" t="str" cm="1">
        <f t="array" ref="W445">IFERROR(INDEX($C$2:$C$501,SMALL(IF($D$2:$D$501="Spain",ROW($D$2:$D$501)-1),ROW()-1)),"")</f>
        <v/>
      </c>
    </row>
    <row r="446" spans="1:23" x14ac:dyDescent="0.35">
      <c r="A446">
        <v>445</v>
      </c>
      <c r="B446" t="s">
        <v>15</v>
      </c>
      <c r="C446">
        <v>774</v>
      </c>
      <c r="D446" t="s">
        <v>23</v>
      </c>
      <c r="E446" t="s">
        <v>25</v>
      </c>
      <c r="F446">
        <v>77</v>
      </c>
      <c r="G446">
        <v>10</v>
      </c>
      <c r="H446">
        <v>10982.07</v>
      </c>
      <c r="I446">
        <v>4</v>
      </c>
      <c r="J446">
        <v>1</v>
      </c>
      <c r="K446">
        <v>0</v>
      </c>
      <c r="L446">
        <v>107521.29</v>
      </c>
      <c r="M446">
        <v>0</v>
      </c>
      <c r="O446" t="str">
        <f t="shared" si="12"/>
        <v/>
      </c>
      <c r="P446">
        <f t="shared" si="13"/>
        <v>107521.29</v>
      </c>
      <c r="R446" t="str">
        <f t="array" ref="R446">IFERROR(INDEX($L$2:$L$501,SMALL(IF($M$2:$M$501=1,ROW($M$2:$M$501)-1),ROW()-1)),"")</f>
        <v/>
      </c>
      <c r="S446" t="str" cm="1">
        <f t="array" ref="S446">IFERROR(INDEX($L$2:$L$501,SMALL(IF($M$2:$M$501=0,ROW($M$2:$M$501)-1),ROW()-1)),"")</f>
        <v/>
      </c>
      <c r="U446" t="str" cm="1">
        <f t="array" ref="U446">IFERROR(INDEX($C$2:$C$501,SMALL(IF($D$2:$D$501="France",ROW($D$2:$D$501)-1),ROW()-1)),"")</f>
        <v/>
      </c>
      <c r="V446" t="str" cm="1">
        <f t="array" ref="V446">IFERROR(INDEX($C$2:$C$501,SMALL(IF($D$2:$D$501="Germany",ROW($D$2:$D$501)-1),ROW()-1)),"")</f>
        <v/>
      </c>
      <c r="W446" t="str" cm="1">
        <f t="array" ref="W446">IFERROR(INDEX($C$2:$C$501,SMALL(IF($D$2:$D$501="Spain",ROW($D$2:$D$501)-1),ROW()-1)),"")</f>
        <v/>
      </c>
    </row>
    <row r="447" spans="1:23" x14ac:dyDescent="0.35">
      <c r="A447">
        <v>446</v>
      </c>
      <c r="B447" t="s">
        <v>14</v>
      </c>
      <c r="C447">
        <v>500</v>
      </c>
      <c r="D447" t="s">
        <v>22</v>
      </c>
      <c r="E447" t="s">
        <v>25</v>
      </c>
      <c r="F447">
        <v>54</v>
      </c>
      <c r="G447">
        <v>0</v>
      </c>
      <c r="H447">
        <v>43219.63</v>
      </c>
      <c r="I447">
        <v>1</v>
      </c>
      <c r="J447">
        <v>0</v>
      </c>
      <c r="K447">
        <v>1</v>
      </c>
      <c r="L447">
        <v>148736.87</v>
      </c>
      <c r="M447">
        <v>1</v>
      </c>
      <c r="O447">
        <f t="shared" si="12"/>
        <v>148736.87</v>
      </c>
      <c r="P447" t="str">
        <f t="shared" si="13"/>
        <v/>
      </c>
      <c r="R447" t="str">
        <f t="array" ref="R447">IFERROR(INDEX($L$2:$L$501,SMALL(IF($M$2:$M$501=1,ROW($M$2:$M$501)-1),ROW()-1)),"")</f>
        <v/>
      </c>
      <c r="S447" t="str" cm="1">
        <f t="array" ref="S447">IFERROR(INDEX($L$2:$L$501,SMALL(IF($M$2:$M$501=0,ROW($M$2:$M$501)-1),ROW()-1)),"")</f>
        <v/>
      </c>
      <c r="U447" t="str" cm="1">
        <f t="array" ref="U447">IFERROR(INDEX($C$2:$C$501,SMALL(IF($D$2:$D$501="France",ROW($D$2:$D$501)-1),ROW()-1)),"")</f>
        <v/>
      </c>
      <c r="V447" t="str" cm="1">
        <f t="array" ref="V447">IFERROR(INDEX($C$2:$C$501,SMALL(IF($D$2:$D$501="Germany",ROW($D$2:$D$501)-1),ROW()-1)),"")</f>
        <v/>
      </c>
      <c r="W447" t="str" cm="1">
        <f t="array" ref="W447">IFERROR(INDEX($C$2:$C$501,SMALL(IF($D$2:$D$501="Spain",ROW($D$2:$D$501)-1),ROW()-1)),"")</f>
        <v/>
      </c>
    </row>
    <row r="448" spans="1:23" x14ac:dyDescent="0.35">
      <c r="A448">
        <v>447</v>
      </c>
      <c r="B448" t="s">
        <v>13</v>
      </c>
      <c r="C448">
        <v>380</v>
      </c>
      <c r="D448" t="s">
        <v>24</v>
      </c>
      <c r="E448" t="s">
        <v>26</v>
      </c>
      <c r="F448">
        <v>62</v>
      </c>
      <c r="G448">
        <v>7</v>
      </c>
      <c r="H448">
        <v>114966.17</v>
      </c>
      <c r="I448">
        <v>3</v>
      </c>
      <c r="J448">
        <v>0</v>
      </c>
      <c r="K448">
        <v>1</v>
      </c>
      <c r="L448">
        <v>136504.93</v>
      </c>
      <c r="M448">
        <v>1</v>
      </c>
      <c r="O448">
        <f t="shared" si="12"/>
        <v>136504.93</v>
      </c>
      <c r="P448" t="str">
        <f t="shared" si="13"/>
        <v/>
      </c>
      <c r="R448" t="str">
        <f t="array" ref="R448">IFERROR(INDEX($L$2:$L$501,SMALL(IF($M$2:$M$501=1,ROW($M$2:$M$501)-1),ROW()-1)),"")</f>
        <v/>
      </c>
      <c r="S448" t="str" cm="1">
        <f t="array" ref="S448">IFERROR(INDEX($L$2:$L$501,SMALL(IF($M$2:$M$501=0,ROW($M$2:$M$501)-1),ROW()-1)),"")</f>
        <v/>
      </c>
      <c r="U448" t="str" cm="1">
        <f t="array" ref="U448">IFERROR(INDEX($C$2:$C$501,SMALL(IF($D$2:$D$501="France",ROW($D$2:$D$501)-1),ROW()-1)),"")</f>
        <v/>
      </c>
      <c r="V448" t="str" cm="1">
        <f t="array" ref="V448">IFERROR(INDEX($C$2:$C$501,SMALL(IF($D$2:$D$501="Germany",ROW($D$2:$D$501)-1),ROW()-1)),"")</f>
        <v/>
      </c>
      <c r="W448" t="str" cm="1">
        <f t="array" ref="W448">IFERROR(INDEX($C$2:$C$501,SMALL(IF($D$2:$D$501="Spain",ROW($D$2:$D$501)-1),ROW()-1)),"")</f>
        <v/>
      </c>
    </row>
    <row r="449" spans="1:23" x14ac:dyDescent="0.35">
      <c r="A449">
        <v>448</v>
      </c>
      <c r="B449" t="s">
        <v>12</v>
      </c>
      <c r="C449">
        <v>605</v>
      </c>
      <c r="D449" t="s">
        <v>24</v>
      </c>
      <c r="E449" t="s">
        <v>26</v>
      </c>
      <c r="F449">
        <v>90</v>
      </c>
      <c r="G449">
        <v>6</v>
      </c>
      <c r="H449">
        <v>125191.91</v>
      </c>
      <c r="I449">
        <v>2</v>
      </c>
      <c r="J449">
        <v>0</v>
      </c>
      <c r="K449">
        <v>1</v>
      </c>
      <c r="L449">
        <v>74035.929999999993</v>
      </c>
      <c r="M449">
        <v>1</v>
      </c>
      <c r="O449">
        <f t="shared" si="12"/>
        <v>74035.929999999993</v>
      </c>
      <c r="P449" t="str">
        <f t="shared" si="13"/>
        <v/>
      </c>
      <c r="R449" t="str">
        <f t="array" ref="R449">IFERROR(INDEX($L$2:$L$501,SMALL(IF($M$2:$M$501=1,ROW($M$2:$M$501)-1),ROW()-1)),"")</f>
        <v/>
      </c>
      <c r="S449" t="str" cm="1">
        <f t="array" ref="S449">IFERROR(INDEX($L$2:$L$501,SMALL(IF($M$2:$M$501=0,ROW($M$2:$M$501)-1),ROW()-1)),"")</f>
        <v/>
      </c>
      <c r="U449" t="str" cm="1">
        <f t="array" ref="U449">IFERROR(INDEX($C$2:$C$501,SMALL(IF($D$2:$D$501="France",ROW($D$2:$D$501)-1),ROW()-1)),"")</f>
        <v/>
      </c>
      <c r="V449" t="str" cm="1">
        <f t="array" ref="V449">IFERROR(INDEX($C$2:$C$501,SMALL(IF($D$2:$D$501="Germany",ROW($D$2:$D$501)-1),ROW()-1)),"")</f>
        <v/>
      </c>
      <c r="W449" t="str" cm="1">
        <f t="array" ref="W449">IFERROR(INDEX($C$2:$C$501,SMALL(IF($D$2:$D$501="Spain",ROW($D$2:$D$501)-1),ROW()-1)),"")</f>
        <v/>
      </c>
    </row>
    <row r="450" spans="1:23" x14ac:dyDescent="0.35">
      <c r="A450">
        <v>449</v>
      </c>
      <c r="B450" t="s">
        <v>16</v>
      </c>
      <c r="C450">
        <v>369</v>
      </c>
      <c r="D450" t="s">
        <v>23</v>
      </c>
      <c r="E450" t="s">
        <v>26</v>
      </c>
      <c r="F450">
        <v>56</v>
      </c>
      <c r="G450">
        <v>7</v>
      </c>
      <c r="H450">
        <v>228816.63</v>
      </c>
      <c r="I450">
        <v>3</v>
      </c>
      <c r="J450">
        <v>1</v>
      </c>
      <c r="K450">
        <v>1</v>
      </c>
      <c r="L450">
        <v>52394</v>
      </c>
      <c r="M450">
        <v>0</v>
      </c>
      <c r="O450" t="str">
        <f t="shared" si="12"/>
        <v/>
      </c>
      <c r="P450">
        <f t="shared" si="13"/>
        <v>52394</v>
      </c>
      <c r="R450" t="str">
        <f t="array" ref="R450">IFERROR(INDEX($L$2:$L$501,SMALL(IF($M$2:$M$501=1,ROW($M$2:$M$501)-1),ROW()-1)),"")</f>
        <v/>
      </c>
      <c r="S450" t="str" cm="1">
        <f t="array" ref="S450">IFERROR(INDEX($L$2:$L$501,SMALL(IF($M$2:$M$501=0,ROW($M$2:$M$501)-1),ROW()-1)),"")</f>
        <v/>
      </c>
      <c r="U450" t="str" cm="1">
        <f t="array" ref="U450">IFERROR(INDEX($C$2:$C$501,SMALL(IF($D$2:$D$501="France",ROW($D$2:$D$501)-1),ROW()-1)),"")</f>
        <v/>
      </c>
      <c r="V450" t="str" cm="1">
        <f t="array" ref="V450">IFERROR(INDEX($C$2:$C$501,SMALL(IF($D$2:$D$501="Germany",ROW($D$2:$D$501)-1),ROW()-1)),"")</f>
        <v/>
      </c>
      <c r="W450" t="str" cm="1">
        <f t="array" ref="W450">IFERROR(INDEX($C$2:$C$501,SMALL(IF($D$2:$D$501="Spain",ROW($D$2:$D$501)-1),ROW()-1)),"")</f>
        <v/>
      </c>
    </row>
    <row r="451" spans="1:23" x14ac:dyDescent="0.35">
      <c r="A451">
        <v>450</v>
      </c>
      <c r="B451" t="s">
        <v>14</v>
      </c>
      <c r="C451">
        <v>610</v>
      </c>
      <c r="D451" t="s">
        <v>24</v>
      </c>
      <c r="E451" t="s">
        <v>26</v>
      </c>
      <c r="F451">
        <v>60</v>
      </c>
      <c r="G451">
        <v>10</v>
      </c>
      <c r="H451">
        <v>104917.3</v>
      </c>
      <c r="I451">
        <v>2</v>
      </c>
      <c r="J451">
        <v>0</v>
      </c>
      <c r="K451">
        <v>1</v>
      </c>
      <c r="L451">
        <v>72303.199999999997</v>
      </c>
      <c r="M451">
        <v>1</v>
      </c>
      <c r="O451">
        <f t="shared" ref="O451:O501" si="14">IF($M451=1,$L451,"")</f>
        <v>72303.199999999997</v>
      </c>
      <c r="P451" t="str">
        <f t="shared" ref="P451:P501" si="15">IF($M451=0,$L451,"")</f>
        <v/>
      </c>
      <c r="R451" t="str">
        <f t="array" ref="R451">IFERROR(INDEX($L$2:$L$501,SMALL(IF($M$2:$M$501=1,ROW($M$2:$M$501)-1),ROW()-1)),"")</f>
        <v/>
      </c>
      <c r="S451" t="str" cm="1">
        <f t="array" ref="S451">IFERROR(INDEX($L$2:$L$501,SMALL(IF($M$2:$M$501=0,ROW($M$2:$M$501)-1),ROW()-1)),"")</f>
        <v/>
      </c>
      <c r="U451" t="str" cm="1">
        <f t="array" ref="U451">IFERROR(INDEX($C$2:$C$501,SMALL(IF($D$2:$D$501="France",ROW($D$2:$D$501)-1),ROW()-1)),"")</f>
        <v/>
      </c>
      <c r="V451" t="str" cm="1">
        <f t="array" ref="V451">IFERROR(INDEX($C$2:$C$501,SMALL(IF($D$2:$D$501="Germany",ROW($D$2:$D$501)-1),ROW()-1)),"")</f>
        <v/>
      </c>
      <c r="W451" t="str" cm="1">
        <f t="array" ref="W451">IFERROR(INDEX($C$2:$C$501,SMALL(IF($D$2:$D$501="Spain",ROW($D$2:$D$501)-1),ROW()-1)),"")</f>
        <v/>
      </c>
    </row>
    <row r="452" spans="1:23" x14ac:dyDescent="0.35">
      <c r="A452">
        <v>451</v>
      </c>
      <c r="B452" t="s">
        <v>15</v>
      </c>
      <c r="C452">
        <v>498</v>
      </c>
      <c r="D452" t="s">
        <v>23</v>
      </c>
      <c r="E452" t="s">
        <v>26</v>
      </c>
      <c r="F452">
        <v>54</v>
      </c>
      <c r="G452">
        <v>9</v>
      </c>
      <c r="H452">
        <v>26944.7</v>
      </c>
      <c r="I452">
        <v>4</v>
      </c>
      <c r="J452">
        <v>0</v>
      </c>
      <c r="K452">
        <v>0</v>
      </c>
      <c r="L452">
        <v>88360.27</v>
      </c>
      <c r="M452">
        <v>0</v>
      </c>
      <c r="O452" t="str">
        <f t="shared" si="14"/>
        <v/>
      </c>
      <c r="P452">
        <f t="shared" si="15"/>
        <v>88360.27</v>
      </c>
      <c r="R452" t="str">
        <f t="array" ref="R452">IFERROR(INDEX($L$2:$L$501,SMALL(IF($M$2:$M$501=1,ROW($M$2:$M$501)-1),ROW()-1)),"")</f>
        <v/>
      </c>
      <c r="S452" t="str" cm="1">
        <f t="array" ref="S452">IFERROR(INDEX($L$2:$L$501,SMALL(IF($M$2:$M$501=0,ROW($M$2:$M$501)-1),ROW()-1)),"")</f>
        <v/>
      </c>
      <c r="U452" t="str" cm="1">
        <f t="array" ref="U452">IFERROR(INDEX($C$2:$C$501,SMALL(IF($D$2:$D$501="France",ROW($D$2:$D$501)-1),ROW()-1)),"")</f>
        <v/>
      </c>
      <c r="V452" t="str" cm="1">
        <f t="array" ref="V452">IFERROR(INDEX($C$2:$C$501,SMALL(IF($D$2:$D$501="Germany",ROW($D$2:$D$501)-1),ROW()-1)),"")</f>
        <v/>
      </c>
      <c r="W452" t="str" cm="1">
        <f t="array" ref="W452">IFERROR(INDEX($C$2:$C$501,SMALL(IF($D$2:$D$501="Spain",ROW($D$2:$D$501)-1),ROW()-1)),"")</f>
        <v/>
      </c>
    </row>
    <row r="453" spans="1:23" x14ac:dyDescent="0.35">
      <c r="A453">
        <v>452</v>
      </c>
      <c r="B453" t="s">
        <v>12</v>
      </c>
      <c r="C453">
        <v>712</v>
      </c>
      <c r="D453" t="s">
        <v>24</v>
      </c>
      <c r="E453" t="s">
        <v>26</v>
      </c>
      <c r="F453">
        <v>86</v>
      </c>
      <c r="G453">
        <v>0</v>
      </c>
      <c r="H453">
        <v>57728.98</v>
      </c>
      <c r="I453">
        <v>1</v>
      </c>
      <c r="J453">
        <v>1</v>
      </c>
      <c r="K453">
        <v>1</v>
      </c>
      <c r="L453">
        <v>46958.37</v>
      </c>
      <c r="M453">
        <v>0</v>
      </c>
      <c r="O453" t="str">
        <f t="shared" si="14"/>
        <v/>
      </c>
      <c r="P453">
        <f t="shared" si="15"/>
        <v>46958.37</v>
      </c>
      <c r="R453" t="str">
        <f t="array" ref="R453">IFERROR(INDEX($L$2:$L$501,SMALL(IF($M$2:$M$501=1,ROW($M$2:$M$501)-1),ROW()-1)),"")</f>
        <v/>
      </c>
      <c r="S453" t="str" cm="1">
        <f t="array" ref="S453">IFERROR(INDEX($L$2:$L$501,SMALL(IF($M$2:$M$501=0,ROW($M$2:$M$501)-1),ROW()-1)),"")</f>
        <v/>
      </c>
      <c r="U453" t="str" cm="1">
        <f t="array" ref="U453">IFERROR(INDEX($C$2:$C$501,SMALL(IF($D$2:$D$501="France",ROW($D$2:$D$501)-1),ROW()-1)),"")</f>
        <v/>
      </c>
      <c r="V453" t="str" cm="1">
        <f t="array" ref="V453">IFERROR(INDEX($C$2:$C$501,SMALL(IF($D$2:$D$501="Germany",ROW($D$2:$D$501)-1),ROW()-1)),"")</f>
        <v/>
      </c>
      <c r="W453" t="str" cm="1">
        <f t="array" ref="W453">IFERROR(INDEX($C$2:$C$501,SMALL(IF($D$2:$D$501="Spain",ROW($D$2:$D$501)-1),ROW()-1)),"")</f>
        <v/>
      </c>
    </row>
    <row r="454" spans="1:23" x14ac:dyDescent="0.35">
      <c r="A454">
        <v>453</v>
      </c>
      <c r="B454" t="s">
        <v>12</v>
      </c>
      <c r="C454">
        <v>424</v>
      </c>
      <c r="D454" t="s">
        <v>24</v>
      </c>
      <c r="E454" t="s">
        <v>26</v>
      </c>
      <c r="F454">
        <v>31</v>
      </c>
      <c r="G454">
        <v>9</v>
      </c>
      <c r="H454">
        <v>236352.17</v>
      </c>
      <c r="I454">
        <v>4</v>
      </c>
      <c r="J454">
        <v>0</v>
      </c>
      <c r="K454">
        <v>0</v>
      </c>
      <c r="L454">
        <v>111036.69</v>
      </c>
      <c r="M454">
        <v>1</v>
      </c>
      <c r="O454">
        <f t="shared" si="14"/>
        <v>111036.69</v>
      </c>
      <c r="P454" t="str">
        <f t="shared" si="15"/>
        <v/>
      </c>
      <c r="R454" t="str">
        <f t="array" ref="R454">IFERROR(INDEX($L$2:$L$501,SMALL(IF($M$2:$M$501=1,ROW($M$2:$M$501)-1),ROW()-1)),"")</f>
        <v/>
      </c>
      <c r="S454" t="str" cm="1">
        <f t="array" ref="S454">IFERROR(INDEX($L$2:$L$501,SMALL(IF($M$2:$M$501=0,ROW($M$2:$M$501)-1),ROW()-1)),"")</f>
        <v/>
      </c>
      <c r="U454" t="str" cm="1">
        <f t="array" ref="U454">IFERROR(INDEX($C$2:$C$501,SMALL(IF($D$2:$D$501="France",ROW($D$2:$D$501)-1),ROW()-1)),"")</f>
        <v/>
      </c>
      <c r="V454" t="str" cm="1">
        <f t="array" ref="V454">IFERROR(INDEX($C$2:$C$501,SMALL(IF($D$2:$D$501="Germany",ROW($D$2:$D$501)-1),ROW()-1)),"")</f>
        <v/>
      </c>
      <c r="W454" t="str" cm="1">
        <f t="array" ref="W454">IFERROR(INDEX($C$2:$C$501,SMALL(IF($D$2:$D$501="Spain",ROW($D$2:$D$501)-1),ROW()-1)),"")</f>
        <v/>
      </c>
    </row>
    <row r="455" spans="1:23" x14ac:dyDescent="0.35">
      <c r="A455">
        <v>454</v>
      </c>
      <c r="B455" t="s">
        <v>20</v>
      </c>
      <c r="C455">
        <v>473</v>
      </c>
      <c r="D455" t="s">
        <v>22</v>
      </c>
      <c r="E455" t="s">
        <v>25</v>
      </c>
      <c r="F455">
        <v>31</v>
      </c>
      <c r="G455">
        <v>4</v>
      </c>
      <c r="H455">
        <v>148788.01</v>
      </c>
      <c r="I455">
        <v>2</v>
      </c>
      <c r="J455">
        <v>1</v>
      </c>
      <c r="K455">
        <v>1</v>
      </c>
      <c r="L455">
        <v>13370.94</v>
      </c>
      <c r="M455">
        <v>1</v>
      </c>
      <c r="O455">
        <f t="shared" si="14"/>
        <v>13370.94</v>
      </c>
      <c r="P455" t="str">
        <f t="shared" si="15"/>
        <v/>
      </c>
      <c r="R455" t="str">
        <f t="array" ref="R455">IFERROR(INDEX($L$2:$L$501,SMALL(IF($M$2:$M$501=1,ROW($M$2:$M$501)-1),ROW()-1)),"")</f>
        <v/>
      </c>
      <c r="S455" t="str" cm="1">
        <f t="array" ref="S455">IFERROR(INDEX($L$2:$L$501,SMALL(IF($M$2:$M$501=0,ROW($M$2:$M$501)-1),ROW()-1)),"")</f>
        <v/>
      </c>
      <c r="U455" t="str" cm="1">
        <f t="array" ref="U455">IFERROR(INDEX($C$2:$C$501,SMALL(IF($D$2:$D$501="France",ROW($D$2:$D$501)-1),ROW()-1)),"")</f>
        <v/>
      </c>
      <c r="V455" t="str" cm="1">
        <f t="array" ref="V455">IFERROR(INDEX($C$2:$C$501,SMALL(IF($D$2:$D$501="Germany",ROW($D$2:$D$501)-1),ROW()-1)),"")</f>
        <v/>
      </c>
      <c r="W455" t="str" cm="1">
        <f t="array" ref="W455">IFERROR(INDEX($C$2:$C$501,SMALL(IF($D$2:$D$501="Spain",ROW($D$2:$D$501)-1),ROW()-1)),"")</f>
        <v/>
      </c>
    </row>
    <row r="456" spans="1:23" x14ac:dyDescent="0.35">
      <c r="A456">
        <v>455</v>
      </c>
      <c r="B456" t="s">
        <v>13</v>
      </c>
      <c r="C456">
        <v>801</v>
      </c>
      <c r="D456" t="s">
        <v>23</v>
      </c>
      <c r="E456" t="s">
        <v>26</v>
      </c>
      <c r="F456">
        <v>59</v>
      </c>
      <c r="G456">
        <v>8</v>
      </c>
      <c r="H456">
        <v>88835.65</v>
      </c>
      <c r="I456">
        <v>2</v>
      </c>
      <c r="J456">
        <v>1</v>
      </c>
      <c r="K456">
        <v>0</v>
      </c>
      <c r="L456">
        <v>141964.46</v>
      </c>
      <c r="M456">
        <v>0</v>
      </c>
      <c r="O456" t="str">
        <f t="shared" si="14"/>
        <v/>
      </c>
      <c r="P456">
        <f t="shared" si="15"/>
        <v>141964.46</v>
      </c>
      <c r="R456" t="str">
        <f t="array" ref="R456">IFERROR(INDEX($L$2:$L$501,SMALL(IF($M$2:$M$501=1,ROW($M$2:$M$501)-1),ROW()-1)),"")</f>
        <v/>
      </c>
      <c r="S456" t="str" cm="1">
        <f t="array" ref="S456">IFERROR(INDEX($L$2:$L$501,SMALL(IF($M$2:$M$501=0,ROW($M$2:$M$501)-1),ROW()-1)),"")</f>
        <v/>
      </c>
      <c r="U456" t="str" cm="1">
        <f t="array" ref="U456">IFERROR(INDEX($C$2:$C$501,SMALL(IF($D$2:$D$501="France",ROW($D$2:$D$501)-1),ROW()-1)),"")</f>
        <v/>
      </c>
      <c r="V456" t="str" cm="1">
        <f t="array" ref="V456">IFERROR(INDEX($C$2:$C$501,SMALL(IF($D$2:$D$501="Germany",ROW($D$2:$D$501)-1),ROW()-1)),"")</f>
        <v/>
      </c>
      <c r="W456" t="str" cm="1">
        <f t="array" ref="W456">IFERROR(INDEX($C$2:$C$501,SMALL(IF($D$2:$D$501="Spain",ROW($D$2:$D$501)-1),ROW()-1)),"")</f>
        <v/>
      </c>
    </row>
    <row r="457" spans="1:23" x14ac:dyDescent="0.35">
      <c r="A457">
        <v>456</v>
      </c>
      <c r="B457" t="s">
        <v>20</v>
      </c>
      <c r="C457">
        <v>564</v>
      </c>
      <c r="D457" t="s">
        <v>22</v>
      </c>
      <c r="E457" t="s">
        <v>26</v>
      </c>
      <c r="F457">
        <v>90</v>
      </c>
      <c r="G457">
        <v>5</v>
      </c>
      <c r="H457">
        <v>223177.88</v>
      </c>
      <c r="I457">
        <v>3</v>
      </c>
      <c r="J457">
        <v>1</v>
      </c>
      <c r="K457">
        <v>1</v>
      </c>
      <c r="L457">
        <v>111640.94</v>
      </c>
      <c r="M457">
        <v>0</v>
      </c>
      <c r="O457" t="str">
        <f t="shared" si="14"/>
        <v/>
      </c>
      <c r="P457">
        <f t="shared" si="15"/>
        <v>111640.94</v>
      </c>
      <c r="R457" t="str">
        <f t="array" ref="R457">IFERROR(INDEX($L$2:$L$501,SMALL(IF($M$2:$M$501=1,ROW($M$2:$M$501)-1),ROW()-1)),"")</f>
        <v/>
      </c>
      <c r="S457" t="str" cm="1">
        <f t="array" ref="S457">IFERROR(INDEX($L$2:$L$501,SMALL(IF($M$2:$M$501=0,ROW($M$2:$M$501)-1),ROW()-1)),"")</f>
        <v/>
      </c>
      <c r="U457" t="str" cm="1">
        <f t="array" ref="U457">IFERROR(INDEX($C$2:$C$501,SMALL(IF($D$2:$D$501="France",ROW($D$2:$D$501)-1),ROW()-1)),"")</f>
        <v/>
      </c>
      <c r="V457" t="str" cm="1">
        <f t="array" ref="V457">IFERROR(INDEX($C$2:$C$501,SMALL(IF($D$2:$D$501="Germany",ROW($D$2:$D$501)-1),ROW()-1)),"")</f>
        <v/>
      </c>
      <c r="W457" t="str" cm="1">
        <f t="array" ref="W457">IFERROR(INDEX($C$2:$C$501,SMALL(IF($D$2:$D$501="Spain",ROW($D$2:$D$501)-1),ROW()-1)),"")</f>
        <v/>
      </c>
    </row>
    <row r="458" spans="1:23" x14ac:dyDescent="0.35">
      <c r="A458">
        <v>457</v>
      </c>
      <c r="B458" t="s">
        <v>14</v>
      </c>
      <c r="C458">
        <v>666</v>
      </c>
      <c r="D458" t="s">
        <v>24</v>
      </c>
      <c r="E458" t="s">
        <v>25</v>
      </c>
      <c r="F458">
        <v>24</v>
      </c>
      <c r="G458">
        <v>2</v>
      </c>
      <c r="H458">
        <v>75143.55</v>
      </c>
      <c r="I458">
        <v>1</v>
      </c>
      <c r="J458">
        <v>1</v>
      </c>
      <c r="K458">
        <v>0</v>
      </c>
      <c r="L458">
        <v>132228.18</v>
      </c>
      <c r="M458">
        <v>0</v>
      </c>
      <c r="O458" t="str">
        <f t="shared" si="14"/>
        <v/>
      </c>
      <c r="P458">
        <f t="shared" si="15"/>
        <v>132228.18</v>
      </c>
      <c r="R458" t="str">
        <f t="array" ref="R458">IFERROR(INDEX($L$2:$L$501,SMALL(IF($M$2:$M$501=1,ROW($M$2:$M$501)-1),ROW()-1)),"")</f>
        <v/>
      </c>
      <c r="S458" t="str" cm="1">
        <f t="array" ref="S458">IFERROR(INDEX($L$2:$L$501,SMALL(IF($M$2:$M$501=0,ROW($M$2:$M$501)-1),ROW()-1)),"")</f>
        <v/>
      </c>
      <c r="U458" t="str" cm="1">
        <f t="array" ref="U458">IFERROR(INDEX($C$2:$C$501,SMALL(IF($D$2:$D$501="France",ROW($D$2:$D$501)-1),ROW()-1)),"")</f>
        <v/>
      </c>
      <c r="V458" t="str" cm="1">
        <f t="array" ref="V458">IFERROR(INDEX($C$2:$C$501,SMALL(IF($D$2:$D$501="Germany",ROW($D$2:$D$501)-1),ROW()-1)),"")</f>
        <v/>
      </c>
      <c r="W458" t="str" cm="1">
        <f t="array" ref="W458">IFERROR(INDEX($C$2:$C$501,SMALL(IF($D$2:$D$501="Spain",ROW($D$2:$D$501)-1),ROW()-1)),"")</f>
        <v/>
      </c>
    </row>
    <row r="459" spans="1:23" x14ac:dyDescent="0.35">
      <c r="A459">
        <v>458</v>
      </c>
      <c r="B459" t="s">
        <v>19</v>
      </c>
      <c r="C459">
        <v>579</v>
      </c>
      <c r="D459" t="s">
        <v>23</v>
      </c>
      <c r="E459" t="s">
        <v>26</v>
      </c>
      <c r="F459">
        <v>30</v>
      </c>
      <c r="G459">
        <v>5</v>
      </c>
      <c r="H459">
        <v>220273.68</v>
      </c>
      <c r="I459">
        <v>4</v>
      </c>
      <c r="J459">
        <v>0</v>
      </c>
      <c r="K459">
        <v>0</v>
      </c>
      <c r="L459">
        <v>57395.97</v>
      </c>
      <c r="M459">
        <v>0</v>
      </c>
      <c r="O459" t="str">
        <f t="shared" si="14"/>
        <v/>
      </c>
      <c r="P459">
        <f t="shared" si="15"/>
        <v>57395.97</v>
      </c>
      <c r="R459" t="str">
        <f t="array" ref="R459">IFERROR(INDEX($L$2:$L$501,SMALL(IF($M$2:$M$501=1,ROW($M$2:$M$501)-1),ROW()-1)),"")</f>
        <v/>
      </c>
      <c r="S459" t="str" cm="1">
        <f t="array" ref="S459">IFERROR(INDEX($L$2:$L$501,SMALL(IF($M$2:$M$501=0,ROW($M$2:$M$501)-1),ROW()-1)),"")</f>
        <v/>
      </c>
      <c r="U459" t="str" cm="1">
        <f t="array" ref="U459">IFERROR(INDEX($C$2:$C$501,SMALL(IF($D$2:$D$501="France",ROW($D$2:$D$501)-1),ROW()-1)),"")</f>
        <v/>
      </c>
      <c r="V459" t="str" cm="1">
        <f t="array" ref="V459">IFERROR(INDEX($C$2:$C$501,SMALL(IF($D$2:$D$501="Germany",ROW($D$2:$D$501)-1),ROW()-1)),"")</f>
        <v/>
      </c>
      <c r="W459" t="str" cm="1">
        <f t="array" ref="W459">IFERROR(INDEX($C$2:$C$501,SMALL(IF($D$2:$D$501="Spain",ROW($D$2:$D$501)-1),ROW()-1)),"")</f>
        <v/>
      </c>
    </row>
    <row r="460" spans="1:23" x14ac:dyDescent="0.35">
      <c r="A460">
        <v>459</v>
      </c>
      <c r="B460" t="s">
        <v>16</v>
      </c>
      <c r="C460">
        <v>600</v>
      </c>
      <c r="D460" t="s">
        <v>23</v>
      </c>
      <c r="E460" t="s">
        <v>25</v>
      </c>
      <c r="F460">
        <v>21</v>
      </c>
      <c r="G460">
        <v>4</v>
      </c>
      <c r="H460">
        <v>30283.43</v>
      </c>
      <c r="I460">
        <v>1</v>
      </c>
      <c r="J460">
        <v>0</v>
      </c>
      <c r="K460">
        <v>0</v>
      </c>
      <c r="L460">
        <v>140478.74</v>
      </c>
      <c r="M460">
        <v>1</v>
      </c>
      <c r="O460">
        <f t="shared" si="14"/>
        <v>140478.74</v>
      </c>
      <c r="P460" t="str">
        <f t="shared" si="15"/>
        <v/>
      </c>
      <c r="R460" t="str">
        <f t="array" ref="R460">IFERROR(INDEX($L$2:$L$501,SMALL(IF($M$2:$M$501=1,ROW($M$2:$M$501)-1),ROW()-1)),"")</f>
        <v/>
      </c>
      <c r="S460" t="str" cm="1">
        <f t="array" ref="S460">IFERROR(INDEX($L$2:$L$501,SMALL(IF($M$2:$M$501=0,ROW($M$2:$M$501)-1),ROW()-1)),"")</f>
        <v/>
      </c>
      <c r="U460" t="str" cm="1">
        <f t="array" ref="U460">IFERROR(INDEX($C$2:$C$501,SMALL(IF($D$2:$D$501="France",ROW($D$2:$D$501)-1),ROW()-1)),"")</f>
        <v/>
      </c>
      <c r="V460" t="str" cm="1">
        <f t="array" ref="V460">IFERROR(INDEX($C$2:$C$501,SMALL(IF($D$2:$D$501="Germany",ROW($D$2:$D$501)-1),ROW()-1)),"")</f>
        <v/>
      </c>
      <c r="W460" t="str" cm="1">
        <f t="array" ref="W460">IFERROR(INDEX($C$2:$C$501,SMALL(IF($D$2:$D$501="Spain",ROW($D$2:$D$501)-1),ROW()-1)),"")</f>
        <v/>
      </c>
    </row>
    <row r="461" spans="1:23" x14ac:dyDescent="0.35">
      <c r="A461">
        <v>460</v>
      </c>
      <c r="B461" t="s">
        <v>14</v>
      </c>
      <c r="C461">
        <v>443</v>
      </c>
      <c r="D461" t="s">
        <v>23</v>
      </c>
      <c r="E461" t="s">
        <v>26</v>
      </c>
      <c r="F461">
        <v>34</v>
      </c>
      <c r="G461">
        <v>1</v>
      </c>
      <c r="H461">
        <v>234557.34</v>
      </c>
      <c r="I461">
        <v>2</v>
      </c>
      <c r="J461">
        <v>0</v>
      </c>
      <c r="K461">
        <v>1</v>
      </c>
      <c r="L461">
        <v>148617.01</v>
      </c>
      <c r="M461">
        <v>1</v>
      </c>
      <c r="O461">
        <f t="shared" si="14"/>
        <v>148617.01</v>
      </c>
      <c r="P461" t="str">
        <f t="shared" si="15"/>
        <v/>
      </c>
      <c r="R461" t="str">
        <f t="array" ref="R461">IFERROR(INDEX($L$2:$L$501,SMALL(IF($M$2:$M$501=1,ROW($M$2:$M$501)-1),ROW()-1)),"")</f>
        <v/>
      </c>
      <c r="S461" t="str" cm="1">
        <f t="array" ref="S461">IFERROR(INDEX($L$2:$L$501,SMALL(IF($M$2:$M$501=0,ROW($M$2:$M$501)-1),ROW()-1)),"")</f>
        <v/>
      </c>
      <c r="U461" t="str" cm="1">
        <f t="array" ref="U461">IFERROR(INDEX($C$2:$C$501,SMALL(IF($D$2:$D$501="France",ROW($D$2:$D$501)-1),ROW()-1)),"")</f>
        <v/>
      </c>
      <c r="V461" t="str" cm="1">
        <f t="array" ref="V461">IFERROR(INDEX($C$2:$C$501,SMALL(IF($D$2:$D$501="Germany",ROW($D$2:$D$501)-1),ROW()-1)),"")</f>
        <v/>
      </c>
      <c r="W461" t="str" cm="1">
        <f t="array" ref="W461">IFERROR(INDEX($C$2:$C$501,SMALL(IF($D$2:$D$501="Spain",ROW($D$2:$D$501)-1),ROW()-1)),"")</f>
        <v/>
      </c>
    </row>
    <row r="462" spans="1:23" x14ac:dyDescent="0.35">
      <c r="A462">
        <v>461</v>
      </c>
      <c r="B462" t="s">
        <v>17</v>
      </c>
      <c r="C462">
        <v>519</v>
      </c>
      <c r="D462" t="s">
        <v>23</v>
      </c>
      <c r="E462" t="s">
        <v>25</v>
      </c>
      <c r="F462">
        <v>23</v>
      </c>
      <c r="G462">
        <v>0</v>
      </c>
      <c r="H462">
        <v>234421.59</v>
      </c>
      <c r="I462">
        <v>4</v>
      </c>
      <c r="J462">
        <v>1</v>
      </c>
      <c r="K462">
        <v>0</v>
      </c>
      <c r="L462">
        <v>35122.36</v>
      </c>
      <c r="M462">
        <v>1</v>
      </c>
      <c r="O462">
        <f t="shared" si="14"/>
        <v>35122.36</v>
      </c>
      <c r="P462" t="str">
        <f t="shared" si="15"/>
        <v/>
      </c>
      <c r="R462" t="str">
        <f t="array" ref="R462">IFERROR(INDEX($L$2:$L$501,SMALL(IF($M$2:$M$501=1,ROW($M$2:$M$501)-1),ROW()-1)),"")</f>
        <v/>
      </c>
      <c r="S462" t="str" cm="1">
        <f t="array" ref="S462">IFERROR(INDEX($L$2:$L$501,SMALL(IF($M$2:$M$501=0,ROW($M$2:$M$501)-1),ROW()-1)),"")</f>
        <v/>
      </c>
      <c r="U462" t="str" cm="1">
        <f t="array" ref="U462">IFERROR(INDEX($C$2:$C$501,SMALL(IF($D$2:$D$501="France",ROW($D$2:$D$501)-1),ROW()-1)),"")</f>
        <v/>
      </c>
      <c r="V462" t="str" cm="1">
        <f t="array" ref="V462">IFERROR(INDEX($C$2:$C$501,SMALL(IF($D$2:$D$501="Germany",ROW($D$2:$D$501)-1),ROW()-1)),"")</f>
        <v/>
      </c>
      <c r="W462" t="str" cm="1">
        <f t="array" ref="W462">IFERROR(INDEX($C$2:$C$501,SMALL(IF($D$2:$D$501="Spain",ROW($D$2:$D$501)-1),ROW()-1)),"")</f>
        <v/>
      </c>
    </row>
    <row r="463" spans="1:23" x14ac:dyDescent="0.35">
      <c r="A463">
        <v>462</v>
      </c>
      <c r="B463" t="s">
        <v>15</v>
      </c>
      <c r="C463">
        <v>390</v>
      </c>
      <c r="D463" t="s">
        <v>23</v>
      </c>
      <c r="E463" t="s">
        <v>26</v>
      </c>
      <c r="F463">
        <v>58</v>
      </c>
      <c r="G463">
        <v>2</v>
      </c>
      <c r="H463">
        <v>86317.46</v>
      </c>
      <c r="I463">
        <v>3</v>
      </c>
      <c r="J463">
        <v>0</v>
      </c>
      <c r="K463">
        <v>0</v>
      </c>
      <c r="L463">
        <v>90411.33</v>
      </c>
      <c r="M463">
        <v>1</v>
      </c>
      <c r="O463">
        <f t="shared" si="14"/>
        <v>90411.33</v>
      </c>
      <c r="P463" t="str">
        <f t="shared" si="15"/>
        <v/>
      </c>
      <c r="R463" t="str">
        <f t="array" ref="R463">IFERROR(INDEX($L$2:$L$501,SMALL(IF($M$2:$M$501=1,ROW($M$2:$M$501)-1),ROW()-1)),"")</f>
        <v/>
      </c>
      <c r="S463" t="str" cm="1">
        <f t="array" ref="S463">IFERROR(INDEX($L$2:$L$501,SMALL(IF($M$2:$M$501=0,ROW($M$2:$M$501)-1),ROW()-1)),"")</f>
        <v/>
      </c>
      <c r="U463" t="str" cm="1">
        <f t="array" ref="U463">IFERROR(INDEX($C$2:$C$501,SMALL(IF($D$2:$D$501="France",ROW($D$2:$D$501)-1),ROW()-1)),"")</f>
        <v/>
      </c>
      <c r="V463" t="str" cm="1">
        <f t="array" ref="V463">IFERROR(INDEX($C$2:$C$501,SMALL(IF($D$2:$D$501="Germany",ROW($D$2:$D$501)-1),ROW()-1)),"")</f>
        <v/>
      </c>
      <c r="W463" t="str" cm="1">
        <f t="array" ref="W463">IFERROR(INDEX($C$2:$C$501,SMALL(IF($D$2:$D$501="Spain",ROW($D$2:$D$501)-1),ROW()-1)),"")</f>
        <v/>
      </c>
    </row>
    <row r="464" spans="1:23" x14ac:dyDescent="0.35">
      <c r="A464">
        <v>463</v>
      </c>
      <c r="B464" t="s">
        <v>13</v>
      </c>
      <c r="C464">
        <v>538</v>
      </c>
      <c r="D464" t="s">
        <v>23</v>
      </c>
      <c r="E464" t="s">
        <v>25</v>
      </c>
      <c r="F464">
        <v>73</v>
      </c>
      <c r="G464">
        <v>5</v>
      </c>
      <c r="H464">
        <v>4387.1899999999996</v>
      </c>
      <c r="I464">
        <v>2</v>
      </c>
      <c r="J464">
        <v>1</v>
      </c>
      <c r="K464">
        <v>0</v>
      </c>
      <c r="L464">
        <v>131348.78</v>
      </c>
      <c r="M464">
        <v>1</v>
      </c>
      <c r="O464">
        <f t="shared" si="14"/>
        <v>131348.78</v>
      </c>
      <c r="P464" t="str">
        <f t="shared" si="15"/>
        <v/>
      </c>
      <c r="R464" t="str">
        <f t="array" ref="R464">IFERROR(INDEX($L$2:$L$501,SMALL(IF($M$2:$M$501=1,ROW($M$2:$M$501)-1),ROW()-1)),"")</f>
        <v/>
      </c>
      <c r="S464" t="str" cm="1">
        <f t="array" ref="S464">IFERROR(INDEX($L$2:$L$501,SMALL(IF($M$2:$M$501=0,ROW($M$2:$M$501)-1),ROW()-1)),"")</f>
        <v/>
      </c>
      <c r="U464" t="str" cm="1">
        <f t="array" ref="U464">IFERROR(INDEX($C$2:$C$501,SMALL(IF($D$2:$D$501="France",ROW($D$2:$D$501)-1),ROW()-1)),"")</f>
        <v/>
      </c>
      <c r="V464" t="str" cm="1">
        <f t="array" ref="V464">IFERROR(INDEX($C$2:$C$501,SMALL(IF($D$2:$D$501="Germany",ROW($D$2:$D$501)-1),ROW()-1)),"")</f>
        <v/>
      </c>
      <c r="W464" t="str" cm="1">
        <f t="array" ref="W464">IFERROR(INDEX($C$2:$C$501,SMALL(IF($D$2:$D$501="Spain",ROW($D$2:$D$501)-1),ROW()-1)),"")</f>
        <v/>
      </c>
    </row>
    <row r="465" spans="1:23" x14ac:dyDescent="0.35">
      <c r="A465">
        <v>464</v>
      </c>
      <c r="B465" t="s">
        <v>14</v>
      </c>
      <c r="C465">
        <v>559</v>
      </c>
      <c r="D465" t="s">
        <v>24</v>
      </c>
      <c r="E465" t="s">
        <v>26</v>
      </c>
      <c r="F465">
        <v>47</v>
      </c>
      <c r="G465">
        <v>4</v>
      </c>
      <c r="H465">
        <v>88260.36</v>
      </c>
      <c r="I465">
        <v>3</v>
      </c>
      <c r="J465">
        <v>0</v>
      </c>
      <c r="K465">
        <v>1</v>
      </c>
      <c r="L465">
        <v>16813.419999999998</v>
      </c>
      <c r="M465">
        <v>1</v>
      </c>
      <c r="O465">
        <f t="shared" si="14"/>
        <v>16813.419999999998</v>
      </c>
      <c r="P465" t="str">
        <f t="shared" si="15"/>
        <v/>
      </c>
      <c r="R465" t="str">
        <f t="array" ref="R465">IFERROR(INDEX($L$2:$L$501,SMALL(IF($M$2:$M$501=1,ROW($M$2:$M$501)-1),ROW()-1)),"")</f>
        <v/>
      </c>
      <c r="S465" t="str" cm="1">
        <f t="array" ref="S465">IFERROR(INDEX($L$2:$L$501,SMALL(IF($M$2:$M$501=0,ROW($M$2:$M$501)-1),ROW()-1)),"")</f>
        <v/>
      </c>
      <c r="U465" t="str" cm="1">
        <f t="array" ref="U465">IFERROR(INDEX($C$2:$C$501,SMALL(IF($D$2:$D$501="France",ROW($D$2:$D$501)-1),ROW()-1)),"")</f>
        <v/>
      </c>
      <c r="V465" t="str" cm="1">
        <f t="array" ref="V465">IFERROR(INDEX($C$2:$C$501,SMALL(IF($D$2:$D$501="Germany",ROW($D$2:$D$501)-1),ROW()-1)),"")</f>
        <v/>
      </c>
      <c r="W465" t="str" cm="1">
        <f t="array" ref="W465">IFERROR(INDEX($C$2:$C$501,SMALL(IF($D$2:$D$501="Spain",ROW($D$2:$D$501)-1),ROW()-1)),"")</f>
        <v/>
      </c>
    </row>
    <row r="466" spans="1:23" x14ac:dyDescent="0.35">
      <c r="A466">
        <v>465</v>
      </c>
      <c r="B466" t="s">
        <v>13</v>
      </c>
      <c r="C466">
        <v>529</v>
      </c>
      <c r="D466" t="s">
        <v>23</v>
      </c>
      <c r="E466" t="s">
        <v>25</v>
      </c>
      <c r="F466">
        <v>71</v>
      </c>
      <c r="G466">
        <v>2</v>
      </c>
      <c r="H466">
        <v>45202.75</v>
      </c>
      <c r="I466">
        <v>4</v>
      </c>
      <c r="J466">
        <v>1</v>
      </c>
      <c r="K466">
        <v>0</v>
      </c>
      <c r="L466">
        <v>118614.97</v>
      </c>
      <c r="M466">
        <v>0</v>
      </c>
      <c r="O466" t="str">
        <f t="shared" si="14"/>
        <v/>
      </c>
      <c r="P466">
        <f t="shared" si="15"/>
        <v>118614.97</v>
      </c>
      <c r="R466" t="str">
        <f t="array" ref="R466">IFERROR(INDEX($L$2:$L$501,SMALL(IF($M$2:$M$501=1,ROW($M$2:$M$501)-1),ROW()-1)),"")</f>
        <v/>
      </c>
      <c r="S466" t="str" cm="1">
        <f t="array" ref="S466">IFERROR(INDEX($L$2:$L$501,SMALL(IF($M$2:$M$501=0,ROW($M$2:$M$501)-1),ROW()-1)),"")</f>
        <v/>
      </c>
      <c r="U466" t="str" cm="1">
        <f t="array" ref="U466">IFERROR(INDEX($C$2:$C$501,SMALL(IF($D$2:$D$501="France",ROW($D$2:$D$501)-1),ROW()-1)),"")</f>
        <v/>
      </c>
      <c r="V466" t="str" cm="1">
        <f t="array" ref="V466">IFERROR(INDEX($C$2:$C$501,SMALL(IF($D$2:$D$501="Germany",ROW($D$2:$D$501)-1),ROW()-1)),"")</f>
        <v/>
      </c>
      <c r="W466" t="str" cm="1">
        <f t="array" ref="W466">IFERROR(INDEX($C$2:$C$501,SMALL(IF($D$2:$D$501="Spain",ROW($D$2:$D$501)-1),ROW()-1)),"")</f>
        <v/>
      </c>
    </row>
    <row r="467" spans="1:23" x14ac:dyDescent="0.35">
      <c r="A467">
        <v>466</v>
      </c>
      <c r="B467" t="s">
        <v>14</v>
      </c>
      <c r="C467">
        <v>646</v>
      </c>
      <c r="D467" t="s">
        <v>24</v>
      </c>
      <c r="E467" t="s">
        <v>26</v>
      </c>
      <c r="F467">
        <v>40</v>
      </c>
      <c r="G467">
        <v>7</v>
      </c>
      <c r="H467">
        <v>66516.78</v>
      </c>
      <c r="I467">
        <v>4</v>
      </c>
      <c r="J467">
        <v>1</v>
      </c>
      <c r="K467">
        <v>0</v>
      </c>
      <c r="L467">
        <v>14893.47</v>
      </c>
      <c r="M467">
        <v>1</v>
      </c>
      <c r="O467">
        <f t="shared" si="14"/>
        <v>14893.47</v>
      </c>
      <c r="P467" t="str">
        <f t="shared" si="15"/>
        <v/>
      </c>
      <c r="R467" t="str">
        <f t="array" ref="R467">IFERROR(INDEX($L$2:$L$501,SMALL(IF($M$2:$M$501=1,ROW($M$2:$M$501)-1),ROW()-1)),"")</f>
        <v/>
      </c>
      <c r="S467" t="str" cm="1">
        <f t="array" ref="S467">IFERROR(INDEX($L$2:$L$501,SMALL(IF($M$2:$M$501=0,ROW($M$2:$M$501)-1),ROW()-1)),"")</f>
        <v/>
      </c>
      <c r="U467" t="str" cm="1">
        <f t="array" ref="U467">IFERROR(INDEX($C$2:$C$501,SMALL(IF($D$2:$D$501="France",ROW($D$2:$D$501)-1),ROW()-1)),"")</f>
        <v/>
      </c>
      <c r="V467" t="str" cm="1">
        <f t="array" ref="V467">IFERROR(INDEX($C$2:$C$501,SMALL(IF($D$2:$D$501="Germany",ROW($D$2:$D$501)-1),ROW()-1)),"")</f>
        <v/>
      </c>
      <c r="W467" t="str" cm="1">
        <f t="array" ref="W467">IFERROR(INDEX($C$2:$C$501,SMALL(IF($D$2:$D$501="Spain",ROW($D$2:$D$501)-1),ROW()-1)),"")</f>
        <v/>
      </c>
    </row>
    <row r="468" spans="1:23" x14ac:dyDescent="0.35">
      <c r="A468">
        <v>467</v>
      </c>
      <c r="B468" t="s">
        <v>19</v>
      </c>
      <c r="C468">
        <v>409</v>
      </c>
      <c r="D468" t="s">
        <v>22</v>
      </c>
      <c r="E468" t="s">
        <v>26</v>
      </c>
      <c r="F468">
        <v>41</v>
      </c>
      <c r="G468">
        <v>3</v>
      </c>
      <c r="H468">
        <v>156420.72</v>
      </c>
      <c r="I468">
        <v>2</v>
      </c>
      <c r="J468">
        <v>1</v>
      </c>
      <c r="K468">
        <v>1</v>
      </c>
      <c r="L468">
        <v>101660.52</v>
      </c>
      <c r="M468">
        <v>0</v>
      </c>
      <c r="O468" t="str">
        <f t="shared" si="14"/>
        <v/>
      </c>
      <c r="P468">
        <f t="shared" si="15"/>
        <v>101660.52</v>
      </c>
      <c r="R468" t="str">
        <f t="array" ref="R468">IFERROR(INDEX($L$2:$L$501,SMALL(IF($M$2:$M$501=1,ROW($M$2:$M$501)-1),ROW()-1)),"")</f>
        <v/>
      </c>
      <c r="S468" t="str" cm="1">
        <f t="array" ref="S468">IFERROR(INDEX($L$2:$L$501,SMALL(IF($M$2:$M$501=0,ROW($M$2:$M$501)-1),ROW()-1)),"")</f>
        <v/>
      </c>
      <c r="U468" t="str" cm="1">
        <f t="array" ref="U468">IFERROR(INDEX($C$2:$C$501,SMALL(IF($D$2:$D$501="France",ROW($D$2:$D$501)-1),ROW()-1)),"")</f>
        <v/>
      </c>
      <c r="V468" t="str" cm="1">
        <f t="array" ref="V468">IFERROR(INDEX($C$2:$C$501,SMALL(IF($D$2:$D$501="Germany",ROW($D$2:$D$501)-1),ROW()-1)),"")</f>
        <v/>
      </c>
      <c r="W468" t="str" cm="1">
        <f t="array" ref="W468">IFERROR(INDEX($C$2:$C$501,SMALL(IF($D$2:$D$501="Spain",ROW($D$2:$D$501)-1),ROW()-1)),"")</f>
        <v/>
      </c>
    </row>
    <row r="469" spans="1:23" x14ac:dyDescent="0.35">
      <c r="A469">
        <v>468</v>
      </c>
      <c r="B469" t="s">
        <v>21</v>
      </c>
      <c r="C469">
        <v>840</v>
      </c>
      <c r="D469" t="s">
        <v>24</v>
      </c>
      <c r="E469" t="s">
        <v>25</v>
      </c>
      <c r="F469">
        <v>54</v>
      </c>
      <c r="G469">
        <v>5</v>
      </c>
      <c r="H469">
        <v>110774.55</v>
      </c>
      <c r="I469">
        <v>2</v>
      </c>
      <c r="J469">
        <v>0</v>
      </c>
      <c r="K469">
        <v>0</v>
      </c>
      <c r="L469">
        <v>23399.15</v>
      </c>
      <c r="M469">
        <v>1</v>
      </c>
      <c r="O469">
        <f t="shared" si="14"/>
        <v>23399.15</v>
      </c>
      <c r="P469" t="str">
        <f t="shared" si="15"/>
        <v/>
      </c>
      <c r="R469" t="str">
        <f t="array" ref="R469">IFERROR(INDEX($L$2:$L$501,SMALL(IF($M$2:$M$501=1,ROW($M$2:$M$501)-1),ROW()-1)),"")</f>
        <v/>
      </c>
      <c r="S469" t="str" cm="1">
        <f t="array" ref="S469">IFERROR(INDEX($L$2:$L$501,SMALL(IF($M$2:$M$501=0,ROW($M$2:$M$501)-1),ROW()-1)),"")</f>
        <v/>
      </c>
      <c r="U469" t="str" cm="1">
        <f t="array" ref="U469">IFERROR(INDEX($C$2:$C$501,SMALL(IF($D$2:$D$501="France",ROW($D$2:$D$501)-1),ROW()-1)),"")</f>
        <v/>
      </c>
      <c r="V469" t="str" cm="1">
        <f t="array" ref="V469">IFERROR(INDEX($C$2:$C$501,SMALL(IF($D$2:$D$501="Germany",ROW($D$2:$D$501)-1),ROW()-1)),"")</f>
        <v/>
      </c>
      <c r="W469" t="str" cm="1">
        <f t="array" ref="W469">IFERROR(INDEX($C$2:$C$501,SMALL(IF($D$2:$D$501="Spain",ROW($D$2:$D$501)-1),ROW()-1)),"")</f>
        <v/>
      </c>
    </row>
    <row r="470" spans="1:23" x14ac:dyDescent="0.35">
      <c r="A470">
        <v>469</v>
      </c>
      <c r="B470" t="s">
        <v>16</v>
      </c>
      <c r="C470">
        <v>828</v>
      </c>
      <c r="D470" t="s">
        <v>22</v>
      </c>
      <c r="E470" t="s">
        <v>25</v>
      </c>
      <c r="F470">
        <v>77</v>
      </c>
      <c r="G470">
        <v>10</v>
      </c>
      <c r="H470">
        <v>184078.17</v>
      </c>
      <c r="I470">
        <v>3</v>
      </c>
      <c r="J470">
        <v>1</v>
      </c>
      <c r="K470">
        <v>1</v>
      </c>
      <c r="L470">
        <v>24061.040000000001</v>
      </c>
      <c r="M470">
        <v>1</v>
      </c>
      <c r="O470">
        <f t="shared" si="14"/>
        <v>24061.040000000001</v>
      </c>
      <c r="P470" t="str">
        <f t="shared" si="15"/>
        <v/>
      </c>
      <c r="R470" t="str">
        <f t="array" ref="R470">IFERROR(INDEX($L$2:$L$501,SMALL(IF($M$2:$M$501=1,ROW($M$2:$M$501)-1),ROW()-1)),"")</f>
        <v/>
      </c>
      <c r="S470" t="str" cm="1">
        <f t="array" ref="S470">IFERROR(INDEX($L$2:$L$501,SMALL(IF($M$2:$M$501=0,ROW($M$2:$M$501)-1),ROW()-1)),"")</f>
        <v/>
      </c>
      <c r="U470" t="str" cm="1">
        <f t="array" ref="U470">IFERROR(INDEX($C$2:$C$501,SMALL(IF($D$2:$D$501="France",ROW($D$2:$D$501)-1),ROW()-1)),"")</f>
        <v/>
      </c>
      <c r="V470" t="str" cm="1">
        <f t="array" ref="V470">IFERROR(INDEX($C$2:$C$501,SMALL(IF($D$2:$D$501="Germany",ROW($D$2:$D$501)-1),ROW()-1)),"")</f>
        <v/>
      </c>
      <c r="W470" t="str" cm="1">
        <f t="array" ref="W470">IFERROR(INDEX($C$2:$C$501,SMALL(IF($D$2:$D$501="Spain",ROW($D$2:$D$501)-1),ROW()-1)),"")</f>
        <v/>
      </c>
    </row>
    <row r="471" spans="1:23" x14ac:dyDescent="0.35">
      <c r="A471">
        <v>470</v>
      </c>
      <c r="B471" t="s">
        <v>17</v>
      </c>
      <c r="C471">
        <v>379</v>
      </c>
      <c r="D471" t="s">
        <v>23</v>
      </c>
      <c r="E471" t="s">
        <v>26</v>
      </c>
      <c r="F471">
        <v>52</v>
      </c>
      <c r="G471">
        <v>6</v>
      </c>
      <c r="H471">
        <v>159259.26</v>
      </c>
      <c r="I471">
        <v>2</v>
      </c>
      <c r="J471">
        <v>1</v>
      </c>
      <c r="K471">
        <v>1</v>
      </c>
      <c r="L471">
        <v>50254.16</v>
      </c>
      <c r="M471">
        <v>0</v>
      </c>
      <c r="O471" t="str">
        <f t="shared" si="14"/>
        <v/>
      </c>
      <c r="P471">
        <f t="shared" si="15"/>
        <v>50254.16</v>
      </c>
      <c r="R471" t="str">
        <f t="array" ref="R471">IFERROR(INDEX($L$2:$L$501,SMALL(IF($M$2:$M$501=1,ROW($M$2:$M$501)-1),ROW()-1)),"")</f>
        <v/>
      </c>
      <c r="S471" t="str" cm="1">
        <f t="array" ref="S471">IFERROR(INDEX($L$2:$L$501,SMALL(IF($M$2:$M$501=0,ROW($M$2:$M$501)-1),ROW()-1)),"")</f>
        <v/>
      </c>
      <c r="U471" t="str" cm="1">
        <f t="array" ref="U471">IFERROR(INDEX($C$2:$C$501,SMALL(IF($D$2:$D$501="France",ROW($D$2:$D$501)-1),ROW()-1)),"")</f>
        <v/>
      </c>
      <c r="V471" t="str" cm="1">
        <f t="array" ref="V471">IFERROR(INDEX($C$2:$C$501,SMALL(IF($D$2:$D$501="Germany",ROW($D$2:$D$501)-1),ROW()-1)),"")</f>
        <v/>
      </c>
      <c r="W471" t="str" cm="1">
        <f t="array" ref="W471">IFERROR(INDEX($C$2:$C$501,SMALL(IF($D$2:$D$501="Spain",ROW($D$2:$D$501)-1),ROW()-1)),"")</f>
        <v/>
      </c>
    </row>
    <row r="472" spans="1:23" x14ac:dyDescent="0.35">
      <c r="A472">
        <v>471</v>
      </c>
      <c r="B472" t="s">
        <v>16</v>
      </c>
      <c r="C472">
        <v>575</v>
      </c>
      <c r="D472" t="s">
        <v>24</v>
      </c>
      <c r="E472" t="s">
        <v>26</v>
      </c>
      <c r="F472">
        <v>88</v>
      </c>
      <c r="G472">
        <v>4</v>
      </c>
      <c r="H472">
        <v>75139.3</v>
      </c>
      <c r="I472">
        <v>1</v>
      </c>
      <c r="J472">
        <v>0</v>
      </c>
      <c r="K472">
        <v>1</v>
      </c>
      <c r="L472">
        <v>62313.56</v>
      </c>
      <c r="M472">
        <v>0</v>
      </c>
      <c r="O472" t="str">
        <f t="shared" si="14"/>
        <v/>
      </c>
      <c r="P472">
        <f t="shared" si="15"/>
        <v>62313.56</v>
      </c>
      <c r="R472" t="str">
        <f t="array" ref="R472">IFERROR(INDEX($L$2:$L$501,SMALL(IF($M$2:$M$501=1,ROW($M$2:$M$501)-1),ROW()-1)),"")</f>
        <v/>
      </c>
      <c r="S472" t="str" cm="1">
        <f t="array" ref="S472">IFERROR(INDEX($L$2:$L$501,SMALL(IF($M$2:$M$501=0,ROW($M$2:$M$501)-1),ROW()-1)),"")</f>
        <v/>
      </c>
      <c r="U472" t="str" cm="1">
        <f t="array" ref="U472">IFERROR(INDEX($C$2:$C$501,SMALL(IF($D$2:$D$501="France",ROW($D$2:$D$501)-1),ROW()-1)),"")</f>
        <v/>
      </c>
      <c r="V472" t="str" cm="1">
        <f t="array" ref="V472">IFERROR(INDEX($C$2:$C$501,SMALL(IF($D$2:$D$501="Germany",ROW($D$2:$D$501)-1),ROW()-1)),"")</f>
        <v/>
      </c>
      <c r="W472" t="str" cm="1">
        <f t="array" ref="W472">IFERROR(INDEX($C$2:$C$501,SMALL(IF($D$2:$D$501="Spain",ROW($D$2:$D$501)-1),ROW()-1)),"")</f>
        <v/>
      </c>
    </row>
    <row r="473" spans="1:23" x14ac:dyDescent="0.35">
      <c r="A473">
        <v>472</v>
      </c>
      <c r="B473" t="s">
        <v>18</v>
      </c>
      <c r="C473">
        <v>444</v>
      </c>
      <c r="D473" t="s">
        <v>24</v>
      </c>
      <c r="E473" t="s">
        <v>26</v>
      </c>
      <c r="F473">
        <v>24</v>
      </c>
      <c r="G473">
        <v>9</v>
      </c>
      <c r="H473">
        <v>80969.13</v>
      </c>
      <c r="I473">
        <v>1</v>
      </c>
      <c r="J473">
        <v>1</v>
      </c>
      <c r="K473">
        <v>0</v>
      </c>
      <c r="L473">
        <v>80855.009999999995</v>
      </c>
      <c r="M473">
        <v>1</v>
      </c>
      <c r="O473">
        <f t="shared" si="14"/>
        <v>80855.009999999995</v>
      </c>
      <c r="P473" t="str">
        <f t="shared" si="15"/>
        <v/>
      </c>
      <c r="R473" t="str">
        <f t="array" ref="R473">IFERROR(INDEX($L$2:$L$501,SMALL(IF($M$2:$M$501=1,ROW($M$2:$M$501)-1),ROW()-1)),"")</f>
        <v/>
      </c>
      <c r="S473" t="str" cm="1">
        <f t="array" ref="S473">IFERROR(INDEX($L$2:$L$501,SMALL(IF($M$2:$M$501=0,ROW($M$2:$M$501)-1),ROW()-1)),"")</f>
        <v/>
      </c>
      <c r="U473" t="str" cm="1">
        <f t="array" ref="U473">IFERROR(INDEX($C$2:$C$501,SMALL(IF($D$2:$D$501="France",ROW($D$2:$D$501)-1),ROW()-1)),"")</f>
        <v/>
      </c>
      <c r="V473" t="str" cm="1">
        <f t="array" ref="V473">IFERROR(INDEX($C$2:$C$501,SMALL(IF($D$2:$D$501="Germany",ROW($D$2:$D$501)-1),ROW()-1)),"")</f>
        <v/>
      </c>
      <c r="W473" t="str" cm="1">
        <f t="array" ref="W473">IFERROR(INDEX($C$2:$C$501,SMALL(IF($D$2:$D$501="Spain",ROW($D$2:$D$501)-1),ROW()-1)),"")</f>
        <v/>
      </c>
    </row>
    <row r="474" spans="1:23" x14ac:dyDescent="0.35">
      <c r="A474">
        <v>473</v>
      </c>
      <c r="B474" t="s">
        <v>16</v>
      </c>
      <c r="C474">
        <v>588</v>
      </c>
      <c r="D474" t="s">
        <v>24</v>
      </c>
      <c r="E474" t="s">
        <v>25</v>
      </c>
      <c r="F474">
        <v>35</v>
      </c>
      <c r="G474">
        <v>8</v>
      </c>
      <c r="H474">
        <v>199536.6</v>
      </c>
      <c r="I474">
        <v>3</v>
      </c>
      <c r="J474">
        <v>1</v>
      </c>
      <c r="K474">
        <v>1</v>
      </c>
      <c r="L474">
        <v>19461.59</v>
      </c>
      <c r="M474">
        <v>1</v>
      </c>
      <c r="O474">
        <f t="shared" si="14"/>
        <v>19461.59</v>
      </c>
      <c r="P474" t="str">
        <f t="shared" si="15"/>
        <v/>
      </c>
      <c r="R474" t="str">
        <f t="array" ref="R474">IFERROR(INDEX($L$2:$L$501,SMALL(IF($M$2:$M$501=1,ROW($M$2:$M$501)-1),ROW()-1)),"")</f>
        <v/>
      </c>
      <c r="S474" t="str" cm="1">
        <f t="array" ref="S474">IFERROR(INDEX($L$2:$L$501,SMALL(IF($M$2:$M$501=0,ROW($M$2:$M$501)-1),ROW()-1)),"")</f>
        <v/>
      </c>
      <c r="U474" t="str" cm="1">
        <f t="array" ref="U474">IFERROR(INDEX($C$2:$C$501,SMALL(IF($D$2:$D$501="France",ROW($D$2:$D$501)-1),ROW()-1)),"")</f>
        <v/>
      </c>
      <c r="V474" t="str" cm="1">
        <f t="array" ref="V474">IFERROR(INDEX($C$2:$C$501,SMALL(IF($D$2:$D$501="Germany",ROW($D$2:$D$501)-1),ROW()-1)),"")</f>
        <v/>
      </c>
      <c r="W474" t="str" cm="1">
        <f t="array" ref="W474">IFERROR(INDEX($C$2:$C$501,SMALL(IF($D$2:$D$501="Spain",ROW($D$2:$D$501)-1),ROW()-1)),"")</f>
        <v/>
      </c>
    </row>
    <row r="475" spans="1:23" x14ac:dyDescent="0.35">
      <c r="A475">
        <v>474</v>
      </c>
      <c r="B475" t="s">
        <v>21</v>
      </c>
      <c r="C475">
        <v>515</v>
      </c>
      <c r="D475" t="s">
        <v>22</v>
      </c>
      <c r="E475" t="s">
        <v>25</v>
      </c>
      <c r="F475">
        <v>66</v>
      </c>
      <c r="G475">
        <v>0</v>
      </c>
      <c r="H475">
        <v>133040.76</v>
      </c>
      <c r="I475">
        <v>3</v>
      </c>
      <c r="J475">
        <v>0</v>
      </c>
      <c r="K475">
        <v>0</v>
      </c>
      <c r="L475">
        <v>64833.38</v>
      </c>
      <c r="M475">
        <v>0</v>
      </c>
      <c r="O475" t="str">
        <f t="shared" si="14"/>
        <v/>
      </c>
      <c r="P475">
        <f t="shared" si="15"/>
        <v>64833.38</v>
      </c>
      <c r="R475" t="str">
        <f t="array" ref="R475">IFERROR(INDEX($L$2:$L$501,SMALL(IF($M$2:$M$501=1,ROW($M$2:$M$501)-1),ROW()-1)),"")</f>
        <v/>
      </c>
      <c r="S475" t="str" cm="1">
        <f t="array" ref="S475">IFERROR(INDEX($L$2:$L$501,SMALL(IF($M$2:$M$501=0,ROW($M$2:$M$501)-1),ROW()-1)),"")</f>
        <v/>
      </c>
      <c r="U475" t="str" cm="1">
        <f t="array" ref="U475">IFERROR(INDEX($C$2:$C$501,SMALL(IF($D$2:$D$501="France",ROW($D$2:$D$501)-1),ROW()-1)),"")</f>
        <v/>
      </c>
      <c r="V475" t="str" cm="1">
        <f t="array" ref="V475">IFERROR(INDEX($C$2:$C$501,SMALL(IF($D$2:$D$501="Germany",ROW($D$2:$D$501)-1),ROW()-1)),"")</f>
        <v/>
      </c>
      <c r="W475" t="str" cm="1">
        <f t="array" ref="W475">IFERROR(INDEX($C$2:$C$501,SMALL(IF($D$2:$D$501="Spain",ROW($D$2:$D$501)-1),ROW()-1)),"")</f>
        <v/>
      </c>
    </row>
    <row r="476" spans="1:23" x14ac:dyDescent="0.35">
      <c r="A476">
        <v>475</v>
      </c>
      <c r="B476" t="s">
        <v>14</v>
      </c>
      <c r="C476">
        <v>732</v>
      </c>
      <c r="D476" t="s">
        <v>23</v>
      </c>
      <c r="E476" t="s">
        <v>25</v>
      </c>
      <c r="F476">
        <v>55</v>
      </c>
      <c r="G476">
        <v>10</v>
      </c>
      <c r="H476">
        <v>31845.15</v>
      </c>
      <c r="I476">
        <v>2</v>
      </c>
      <c r="J476">
        <v>1</v>
      </c>
      <c r="K476">
        <v>1</v>
      </c>
      <c r="L476">
        <v>144035.23000000001</v>
      </c>
      <c r="M476">
        <v>1</v>
      </c>
      <c r="O476">
        <f t="shared" si="14"/>
        <v>144035.23000000001</v>
      </c>
      <c r="P476" t="str">
        <f t="shared" si="15"/>
        <v/>
      </c>
      <c r="R476" t="str">
        <f t="array" ref="R476">IFERROR(INDEX($L$2:$L$501,SMALL(IF($M$2:$M$501=1,ROW($M$2:$M$501)-1),ROW()-1)),"")</f>
        <v/>
      </c>
      <c r="S476" t="str" cm="1">
        <f t="array" ref="S476">IFERROR(INDEX($L$2:$L$501,SMALL(IF($M$2:$M$501=0,ROW($M$2:$M$501)-1),ROW()-1)),"")</f>
        <v/>
      </c>
      <c r="U476" t="str" cm="1">
        <f t="array" ref="U476">IFERROR(INDEX($C$2:$C$501,SMALL(IF($D$2:$D$501="France",ROW($D$2:$D$501)-1),ROW()-1)),"")</f>
        <v/>
      </c>
      <c r="V476" t="str" cm="1">
        <f t="array" ref="V476">IFERROR(INDEX($C$2:$C$501,SMALL(IF($D$2:$D$501="Germany",ROW($D$2:$D$501)-1),ROW()-1)),"")</f>
        <v/>
      </c>
      <c r="W476" t="str" cm="1">
        <f t="array" ref="W476">IFERROR(INDEX($C$2:$C$501,SMALL(IF($D$2:$D$501="Spain",ROW($D$2:$D$501)-1),ROW()-1)),"")</f>
        <v/>
      </c>
    </row>
    <row r="477" spans="1:23" x14ac:dyDescent="0.35">
      <c r="A477">
        <v>476</v>
      </c>
      <c r="B477" t="s">
        <v>17</v>
      </c>
      <c r="C477">
        <v>566</v>
      </c>
      <c r="D477" t="s">
        <v>24</v>
      </c>
      <c r="E477" t="s">
        <v>25</v>
      </c>
      <c r="F477">
        <v>18</v>
      </c>
      <c r="G477">
        <v>10</v>
      </c>
      <c r="H477">
        <v>146680.78</v>
      </c>
      <c r="I477">
        <v>2</v>
      </c>
      <c r="J477">
        <v>0</v>
      </c>
      <c r="K477">
        <v>0</v>
      </c>
      <c r="L477">
        <v>76895.64</v>
      </c>
      <c r="M477">
        <v>0</v>
      </c>
      <c r="O477" t="str">
        <f t="shared" si="14"/>
        <v/>
      </c>
      <c r="P477">
        <f t="shared" si="15"/>
        <v>76895.64</v>
      </c>
      <c r="R477" t="str">
        <f t="array" ref="R477">IFERROR(INDEX($L$2:$L$501,SMALL(IF($M$2:$M$501=1,ROW($M$2:$M$501)-1),ROW()-1)),"")</f>
        <v/>
      </c>
      <c r="S477" t="str" cm="1">
        <f t="array" ref="S477">IFERROR(INDEX($L$2:$L$501,SMALL(IF($M$2:$M$501=0,ROW($M$2:$M$501)-1),ROW()-1)),"")</f>
        <v/>
      </c>
      <c r="U477" t="str" cm="1">
        <f t="array" ref="U477">IFERROR(INDEX($C$2:$C$501,SMALL(IF($D$2:$D$501="France",ROW($D$2:$D$501)-1),ROW()-1)),"")</f>
        <v/>
      </c>
      <c r="V477" t="str" cm="1">
        <f t="array" ref="V477">IFERROR(INDEX($C$2:$C$501,SMALL(IF($D$2:$D$501="Germany",ROW($D$2:$D$501)-1),ROW()-1)),"")</f>
        <v/>
      </c>
      <c r="W477" t="str" cm="1">
        <f t="array" ref="W477">IFERROR(INDEX($C$2:$C$501,SMALL(IF($D$2:$D$501="Spain",ROW($D$2:$D$501)-1),ROW()-1)),"")</f>
        <v/>
      </c>
    </row>
    <row r="478" spans="1:23" x14ac:dyDescent="0.35">
      <c r="A478">
        <v>477</v>
      </c>
      <c r="B478" t="s">
        <v>18</v>
      </c>
      <c r="C478">
        <v>622</v>
      </c>
      <c r="D478" t="s">
        <v>22</v>
      </c>
      <c r="E478" t="s">
        <v>25</v>
      </c>
      <c r="F478">
        <v>22</v>
      </c>
      <c r="G478">
        <v>0</v>
      </c>
      <c r="H478">
        <v>34494.730000000003</v>
      </c>
      <c r="I478">
        <v>1</v>
      </c>
      <c r="J478">
        <v>1</v>
      </c>
      <c r="K478">
        <v>1</v>
      </c>
      <c r="L478">
        <v>146557.31</v>
      </c>
      <c r="M478">
        <v>0</v>
      </c>
      <c r="O478" t="str">
        <f t="shared" si="14"/>
        <v/>
      </c>
      <c r="P478">
        <f t="shared" si="15"/>
        <v>146557.31</v>
      </c>
      <c r="R478" t="str">
        <f t="array" ref="R478">IFERROR(INDEX($L$2:$L$501,SMALL(IF($M$2:$M$501=1,ROW($M$2:$M$501)-1),ROW()-1)),"")</f>
        <v/>
      </c>
      <c r="S478" t="str" cm="1">
        <f t="array" ref="S478">IFERROR(INDEX($L$2:$L$501,SMALL(IF($M$2:$M$501=0,ROW($M$2:$M$501)-1),ROW()-1)),"")</f>
        <v/>
      </c>
      <c r="U478" t="str" cm="1">
        <f t="array" ref="U478">IFERROR(INDEX($C$2:$C$501,SMALL(IF($D$2:$D$501="France",ROW($D$2:$D$501)-1),ROW()-1)),"")</f>
        <v/>
      </c>
      <c r="V478" t="str" cm="1">
        <f t="array" ref="V478">IFERROR(INDEX($C$2:$C$501,SMALL(IF($D$2:$D$501="Germany",ROW($D$2:$D$501)-1),ROW()-1)),"")</f>
        <v/>
      </c>
      <c r="W478" t="str" cm="1">
        <f t="array" ref="W478">IFERROR(INDEX($C$2:$C$501,SMALL(IF($D$2:$D$501="Spain",ROW($D$2:$D$501)-1),ROW()-1)),"")</f>
        <v/>
      </c>
    </row>
    <row r="479" spans="1:23" x14ac:dyDescent="0.35">
      <c r="A479">
        <v>478</v>
      </c>
      <c r="B479" t="s">
        <v>16</v>
      </c>
      <c r="C479">
        <v>705</v>
      </c>
      <c r="D479" t="s">
        <v>24</v>
      </c>
      <c r="E479" t="s">
        <v>25</v>
      </c>
      <c r="F479">
        <v>78</v>
      </c>
      <c r="G479">
        <v>2</v>
      </c>
      <c r="H479">
        <v>217177.04</v>
      </c>
      <c r="I479">
        <v>3</v>
      </c>
      <c r="J479">
        <v>0</v>
      </c>
      <c r="K479">
        <v>0</v>
      </c>
      <c r="L479">
        <v>142428.82999999999</v>
      </c>
      <c r="M479">
        <v>1</v>
      </c>
      <c r="O479">
        <f t="shared" si="14"/>
        <v>142428.82999999999</v>
      </c>
      <c r="P479" t="str">
        <f t="shared" si="15"/>
        <v/>
      </c>
      <c r="R479" t="str">
        <f t="array" ref="R479">IFERROR(INDEX($L$2:$L$501,SMALL(IF($M$2:$M$501=1,ROW($M$2:$M$501)-1),ROW()-1)),"")</f>
        <v/>
      </c>
      <c r="S479" t="str" cm="1">
        <f t="array" ref="S479">IFERROR(INDEX($L$2:$L$501,SMALL(IF($M$2:$M$501=0,ROW($M$2:$M$501)-1),ROW()-1)),"")</f>
        <v/>
      </c>
      <c r="U479" t="str" cm="1">
        <f t="array" ref="U479">IFERROR(INDEX($C$2:$C$501,SMALL(IF($D$2:$D$501="France",ROW($D$2:$D$501)-1),ROW()-1)),"")</f>
        <v/>
      </c>
      <c r="V479" t="str" cm="1">
        <f t="array" ref="V479">IFERROR(INDEX($C$2:$C$501,SMALL(IF($D$2:$D$501="Germany",ROW($D$2:$D$501)-1),ROW()-1)),"")</f>
        <v/>
      </c>
      <c r="W479" t="str" cm="1">
        <f t="array" ref="W479">IFERROR(INDEX($C$2:$C$501,SMALL(IF($D$2:$D$501="Spain",ROW($D$2:$D$501)-1),ROW()-1)),"")</f>
        <v/>
      </c>
    </row>
    <row r="480" spans="1:23" x14ac:dyDescent="0.35">
      <c r="A480">
        <v>479</v>
      </c>
      <c r="B480" t="s">
        <v>15</v>
      </c>
      <c r="C480">
        <v>517</v>
      </c>
      <c r="D480" t="s">
        <v>24</v>
      </c>
      <c r="E480" t="s">
        <v>26</v>
      </c>
      <c r="F480">
        <v>28</v>
      </c>
      <c r="G480">
        <v>6</v>
      </c>
      <c r="H480">
        <v>32317.55</v>
      </c>
      <c r="I480">
        <v>3</v>
      </c>
      <c r="J480">
        <v>1</v>
      </c>
      <c r="K480">
        <v>0</v>
      </c>
      <c r="L480">
        <v>48172.94</v>
      </c>
      <c r="M480">
        <v>1</v>
      </c>
      <c r="O480">
        <f t="shared" si="14"/>
        <v>48172.94</v>
      </c>
      <c r="P480" t="str">
        <f t="shared" si="15"/>
        <v/>
      </c>
      <c r="R480" t="str">
        <f t="array" ref="R480">IFERROR(INDEX($L$2:$L$501,SMALL(IF($M$2:$M$501=1,ROW($M$2:$M$501)-1),ROW()-1)),"")</f>
        <v/>
      </c>
      <c r="S480" t="str" cm="1">
        <f t="array" ref="S480">IFERROR(INDEX($L$2:$L$501,SMALL(IF($M$2:$M$501=0,ROW($M$2:$M$501)-1),ROW()-1)),"")</f>
        <v/>
      </c>
      <c r="U480" t="str" cm="1">
        <f t="array" ref="U480">IFERROR(INDEX($C$2:$C$501,SMALL(IF($D$2:$D$501="France",ROW($D$2:$D$501)-1),ROW()-1)),"")</f>
        <v/>
      </c>
      <c r="V480" t="str" cm="1">
        <f t="array" ref="V480">IFERROR(INDEX($C$2:$C$501,SMALL(IF($D$2:$D$501="Germany",ROW($D$2:$D$501)-1),ROW()-1)),"")</f>
        <v/>
      </c>
      <c r="W480" t="str" cm="1">
        <f t="array" ref="W480">IFERROR(INDEX($C$2:$C$501,SMALL(IF($D$2:$D$501="Spain",ROW($D$2:$D$501)-1),ROW()-1)),"")</f>
        <v/>
      </c>
    </row>
    <row r="481" spans="1:23" x14ac:dyDescent="0.35">
      <c r="A481">
        <v>480</v>
      </c>
      <c r="B481" t="s">
        <v>18</v>
      </c>
      <c r="C481">
        <v>507</v>
      </c>
      <c r="D481" t="s">
        <v>24</v>
      </c>
      <c r="E481" t="s">
        <v>25</v>
      </c>
      <c r="F481">
        <v>47</v>
      </c>
      <c r="G481">
        <v>1</v>
      </c>
      <c r="H481">
        <v>167352.03</v>
      </c>
      <c r="I481">
        <v>1</v>
      </c>
      <c r="J481">
        <v>0</v>
      </c>
      <c r="K481">
        <v>1</v>
      </c>
      <c r="L481">
        <v>124013.91</v>
      </c>
      <c r="M481">
        <v>0</v>
      </c>
      <c r="O481" t="str">
        <f t="shared" si="14"/>
        <v/>
      </c>
      <c r="P481">
        <f t="shared" si="15"/>
        <v>124013.91</v>
      </c>
      <c r="R481" t="str">
        <f t="array" ref="R481">IFERROR(INDEX($L$2:$L$501,SMALL(IF($M$2:$M$501=1,ROW($M$2:$M$501)-1),ROW()-1)),"")</f>
        <v/>
      </c>
      <c r="S481" t="str" cm="1">
        <f t="array" ref="S481">IFERROR(INDEX($L$2:$L$501,SMALL(IF($M$2:$M$501=0,ROW($M$2:$M$501)-1),ROW()-1)),"")</f>
        <v/>
      </c>
      <c r="U481" t="str" cm="1">
        <f t="array" ref="U481">IFERROR(INDEX($C$2:$C$501,SMALL(IF($D$2:$D$501="France",ROW($D$2:$D$501)-1),ROW()-1)),"")</f>
        <v/>
      </c>
      <c r="V481" t="str" cm="1">
        <f t="array" ref="V481">IFERROR(INDEX($C$2:$C$501,SMALL(IF($D$2:$D$501="Germany",ROW($D$2:$D$501)-1),ROW()-1)),"")</f>
        <v/>
      </c>
      <c r="W481" t="str" cm="1">
        <f t="array" ref="W481">IFERROR(INDEX($C$2:$C$501,SMALL(IF($D$2:$D$501="Spain",ROW($D$2:$D$501)-1),ROW()-1)),"")</f>
        <v/>
      </c>
    </row>
    <row r="482" spans="1:23" x14ac:dyDescent="0.35">
      <c r="A482">
        <v>481</v>
      </c>
      <c r="B482" t="s">
        <v>16</v>
      </c>
      <c r="C482">
        <v>415</v>
      </c>
      <c r="D482" t="s">
        <v>24</v>
      </c>
      <c r="E482" t="s">
        <v>26</v>
      </c>
      <c r="F482">
        <v>31</v>
      </c>
      <c r="G482">
        <v>5</v>
      </c>
      <c r="H482">
        <v>224202.59</v>
      </c>
      <c r="I482">
        <v>3</v>
      </c>
      <c r="J482">
        <v>1</v>
      </c>
      <c r="K482">
        <v>0</v>
      </c>
      <c r="L482">
        <v>58513.24</v>
      </c>
      <c r="M482">
        <v>0</v>
      </c>
      <c r="O482" t="str">
        <f t="shared" si="14"/>
        <v/>
      </c>
      <c r="P482">
        <f t="shared" si="15"/>
        <v>58513.24</v>
      </c>
      <c r="R482" t="str">
        <f t="array" ref="R482">IFERROR(INDEX($L$2:$L$501,SMALL(IF($M$2:$M$501=1,ROW($M$2:$M$501)-1),ROW()-1)),"")</f>
        <v/>
      </c>
      <c r="S482" t="str" cm="1">
        <f t="array" ref="S482">IFERROR(INDEX($L$2:$L$501,SMALL(IF($M$2:$M$501=0,ROW($M$2:$M$501)-1),ROW()-1)),"")</f>
        <v/>
      </c>
      <c r="U482" t="str" cm="1">
        <f t="array" ref="U482">IFERROR(INDEX($C$2:$C$501,SMALL(IF($D$2:$D$501="France",ROW($D$2:$D$501)-1),ROW()-1)),"")</f>
        <v/>
      </c>
      <c r="V482" t="str" cm="1">
        <f t="array" ref="V482">IFERROR(INDEX($C$2:$C$501,SMALL(IF($D$2:$D$501="Germany",ROW($D$2:$D$501)-1),ROW()-1)),"")</f>
        <v/>
      </c>
      <c r="W482" t="str" cm="1">
        <f t="array" ref="W482">IFERROR(INDEX($C$2:$C$501,SMALL(IF($D$2:$D$501="Spain",ROW($D$2:$D$501)-1),ROW()-1)),"")</f>
        <v/>
      </c>
    </row>
    <row r="483" spans="1:23" x14ac:dyDescent="0.35">
      <c r="A483">
        <v>482</v>
      </c>
      <c r="B483" t="s">
        <v>18</v>
      </c>
      <c r="C483">
        <v>629</v>
      </c>
      <c r="D483" t="s">
        <v>22</v>
      </c>
      <c r="E483" t="s">
        <v>25</v>
      </c>
      <c r="F483">
        <v>37</v>
      </c>
      <c r="G483">
        <v>9</v>
      </c>
      <c r="H483">
        <v>24530.880000000001</v>
      </c>
      <c r="I483">
        <v>2</v>
      </c>
      <c r="J483">
        <v>1</v>
      </c>
      <c r="K483">
        <v>0</v>
      </c>
      <c r="L483">
        <v>100372.28</v>
      </c>
      <c r="M483">
        <v>0</v>
      </c>
      <c r="O483" t="str">
        <f t="shared" si="14"/>
        <v/>
      </c>
      <c r="P483">
        <f t="shared" si="15"/>
        <v>100372.28</v>
      </c>
      <c r="R483" t="str">
        <f t="array" ref="R483">IFERROR(INDEX($L$2:$L$501,SMALL(IF($M$2:$M$501=1,ROW($M$2:$M$501)-1),ROW()-1)),"")</f>
        <v/>
      </c>
      <c r="S483" t="str" cm="1">
        <f t="array" ref="S483">IFERROR(INDEX($L$2:$L$501,SMALL(IF($M$2:$M$501=0,ROW($M$2:$M$501)-1),ROW()-1)),"")</f>
        <v/>
      </c>
      <c r="U483" t="str" cm="1">
        <f t="array" ref="U483">IFERROR(INDEX($C$2:$C$501,SMALL(IF($D$2:$D$501="France",ROW($D$2:$D$501)-1),ROW()-1)),"")</f>
        <v/>
      </c>
      <c r="V483" t="str" cm="1">
        <f t="array" ref="V483">IFERROR(INDEX($C$2:$C$501,SMALL(IF($D$2:$D$501="Germany",ROW($D$2:$D$501)-1),ROW()-1)),"")</f>
        <v/>
      </c>
      <c r="W483" t="str" cm="1">
        <f t="array" ref="W483">IFERROR(INDEX($C$2:$C$501,SMALL(IF($D$2:$D$501="Spain",ROW($D$2:$D$501)-1),ROW()-1)),"")</f>
        <v/>
      </c>
    </row>
    <row r="484" spans="1:23" x14ac:dyDescent="0.35">
      <c r="A484">
        <v>483</v>
      </c>
      <c r="B484" t="s">
        <v>21</v>
      </c>
      <c r="C484">
        <v>550</v>
      </c>
      <c r="D484" t="s">
        <v>23</v>
      </c>
      <c r="E484" t="s">
        <v>25</v>
      </c>
      <c r="F484">
        <v>59</v>
      </c>
      <c r="G484">
        <v>5</v>
      </c>
      <c r="H484">
        <v>132558.04</v>
      </c>
      <c r="I484">
        <v>3</v>
      </c>
      <c r="J484">
        <v>1</v>
      </c>
      <c r="K484">
        <v>0</v>
      </c>
      <c r="L484">
        <v>55627.46</v>
      </c>
      <c r="M484">
        <v>0</v>
      </c>
      <c r="O484" t="str">
        <f t="shared" si="14"/>
        <v/>
      </c>
      <c r="P484">
        <f t="shared" si="15"/>
        <v>55627.46</v>
      </c>
      <c r="R484" t="str">
        <f t="array" ref="R484">IFERROR(INDEX($L$2:$L$501,SMALL(IF($M$2:$M$501=1,ROW($M$2:$M$501)-1),ROW()-1)),"")</f>
        <v/>
      </c>
      <c r="S484" t="str" cm="1">
        <f t="array" ref="S484">IFERROR(INDEX($L$2:$L$501,SMALL(IF($M$2:$M$501=0,ROW($M$2:$M$501)-1),ROW()-1)),"")</f>
        <v/>
      </c>
      <c r="U484" t="str" cm="1">
        <f t="array" ref="U484">IFERROR(INDEX($C$2:$C$501,SMALL(IF($D$2:$D$501="France",ROW($D$2:$D$501)-1),ROW()-1)),"")</f>
        <v/>
      </c>
      <c r="V484" t="str" cm="1">
        <f t="array" ref="V484">IFERROR(INDEX($C$2:$C$501,SMALL(IF($D$2:$D$501="Germany",ROW($D$2:$D$501)-1),ROW()-1)),"")</f>
        <v/>
      </c>
      <c r="W484" t="str" cm="1">
        <f t="array" ref="W484">IFERROR(INDEX($C$2:$C$501,SMALL(IF($D$2:$D$501="Spain",ROW($D$2:$D$501)-1),ROW()-1)),"")</f>
        <v/>
      </c>
    </row>
    <row r="485" spans="1:23" x14ac:dyDescent="0.35">
      <c r="A485">
        <v>484</v>
      </c>
      <c r="B485" t="s">
        <v>17</v>
      </c>
      <c r="C485">
        <v>734</v>
      </c>
      <c r="D485" t="s">
        <v>23</v>
      </c>
      <c r="E485" t="s">
        <v>25</v>
      </c>
      <c r="F485">
        <v>62</v>
      </c>
      <c r="G485">
        <v>2</v>
      </c>
      <c r="H485">
        <v>239522.72</v>
      </c>
      <c r="I485">
        <v>3</v>
      </c>
      <c r="J485">
        <v>0</v>
      </c>
      <c r="K485">
        <v>1</v>
      </c>
      <c r="L485">
        <v>37534.69</v>
      </c>
      <c r="M485">
        <v>0</v>
      </c>
      <c r="O485" t="str">
        <f t="shared" si="14"/>
        <v/>
      </c>
      <c r="P485">
        <f t="shared" si="15"/>
        <v>37534.69</v>
      </c>
      <c r="R485" t="str">
        <f t="array" ref="R485">IFERROR(INDEX($L$2:$L$501,SMALL(IF($M$2:$M$501=1,ROW($M$2:$M$501)-1),ROW()-1)),"")</f>
        <v/>
      </c>
      <c r="S485" t="str" cm="1">
        <f t="array" ref="S485">IFERROR(INDEX($L$2:$L$501,SMALL(IF($M$2:$M$501=0,ROW($M$2:$M$501)-1),ROW()-1)),"")</f>
        <v/>
      </c>
      <c r="U485" t="str" cm="1">
        <f t="array" ref="U485">IFERROR(INDEX($C$2:$C$501,SMALL(IF($D$2:$D$501="France",ROW($D$2:$D$501)-1),ROW()-1)),"")</f>
        <v/>
      </c>
      <c r="V485" t="str" cm="1">
        <f t="array" ref="V485">IFERROR(INDEX($C$2:$C$501,SMALL(IF($D$2:$D$501="Germany",ROW($D$2:$D$501)-1),ROW()-1)),"")</f>
        <v/>
      </c>
      <c r="W485" t="str" cm="1">
        <f t="array" ref="W485">IFERROR(INDEX($C$2:$C$501,SMALL(IF($D$2:$D$501="Spain",ROW($D$2:$D$501)-1),ROW()-1)),"")</f>
        <v/>
      </c>
    </row>
    <row r="486" spans="1:23" x14ac:dyDescent="0.35">
      <c r="A486">
        <v>485</v>
      </c>
      <c r="B486" t="s">
        <v>15</v>
      </c>
      <c r="C486">
        <v>437</v>
      </c>
      <c r="D486" t="s">
        <v>24</v>
      </c>
      <c r="E486" t="s">
        <v>26</v>
      </c>
      <c r="F486">
        <v>69</v>
      </c>
      <c r="G486">
        <v>3</v>
      </c>
      <c r="H486">
        <v>69485.69</v>
      </c>
      <c r="I486">
        <v>2</v>
      </c>
      <c r="J486">
        <v>1</v>
      </c>
      <c r="K486">
        <v>1</v>
      </c>
      <c r="L486">
        <v>91069.46</v>
      </c>
      <c r="M486">
        <v>0</v>
      </c>
      <c r="O486" t="str">
        <f t="shared" si="14"/>
        <v/>
      </c>
      <c r="P486">
        <f t="shared" si="15"/>
        <v>91069.46</v>
      </c>
      <c r="R486" t="str">
        <f t="array" ref="R486">IFERROR(INDEX($L$2:$L$501,SMALL(IF($M$2:$M$501=1,ROW($M$2:$M$501)-1),ROW()-1)),"")</f>
        <v/>
      </c>
      <c r="S486" t="str" cm="1">
        <f t="array" ref="S486">IFERROR(INDEX($L$2:$L$501,SMALL(IF($M$2:$M$501=0,ROW($M$2:$M$501)-1),ROW()-1)),"")</f>
        <v/>
      </c>
      <c r="U486" t="str" cm="1">
        <f t="array" ref="U486">IFERROR(INDEX($C$2:$C$501,SMALL(IF($D$2:$D$501="France",ROW($D$2:$D$501)-1),ROW()-1)),"")</f>
        <v/>
      </c>
      <c r="V486" t="str" cm="1">
        <f t="array" ref="V486">IFERROR(INDEX($C$2:$C$501,SMALL(IF($D$2:$D$501="Germany",ROW($D$2:$D$501)-1),ROW()-1)),"")</f>
        <v/>
      </c>
      <c r="W486" t="str" cm="1">
        <f t="array" ref="W486">IFERROR(INDEX($C$2:$C$501,SMALL(IF($D$2:$D$501="Spain",ROW($D$2:$D$501)-1),ROW()-1)),"")</f>
        <v/>
      </c>
    </row>
    <row r="487" spans="1:23" x14ac:dyDescent="0.35">
      <c r="A487">
        <v>486</v>
      </c>
      <c r="B487" t="s">
        <v>17</v>
      </c>
      <c r="C487">
        <v>643</v>
      </c>
      <c r="D487" t="s">
        <v>22</v>
      </c>
      <c r="E487" t="s">
        <v>25</v>
      </c>
      <c r="F487">
        <v>34</v>
      </c>
      <c r="G487">
        <v>3</v>
      </c>
      <c r="H487">
        <v>70266.98</v>
      </c>
      <c r="I487">
        <v>2</v>
      </c>
      <c r="J487">
        <v>0</v>
      </c>
      <c r="K487">
        <v>1</v>
      </c>
      <c r="L487">
        <v>129097.79</v>
      </c>
      <c r="M487">
        <v>1</v>
      </c>
      <c r="O487">
        <f t="shared" si="14"/>
        <v>129097.79</v>
      </c>
      <c r="P487" t="str">
        <f t="shared" si="15"/>
        <v/>
      </c>
      <c r="R487" t="str">
        <f t="array" ref="R487">IFERROR(INDEX($L$2:$L$501,SMALL(IF($M$2:$M$501=1,ROW($M$2:$M$501)-1),ROW()-1)),"")</f>
        <v/>
      </c>
      <c r="S487" t="str" cm="1">
        <f t="array" ref="S487">IFERROR(INDEX($L$2:$L$501,SMALL(IF($M$2:$M$501=0,ROW($M$2:$M$501)-1),ROW()-1)),"")</f>
        <v/>
      </c>
      <c r="U487" t="str" cm="1">
        <f t="array" ref="U487">IFERROR(INDEX($C$2:$C$501,SMALL(IF($D$2:$D$501="France",ROW($D$2:$D$501)-1),ROW()-1)),"")</f>
        <v/>
      </c>
      <c r="V487" t="str" cm="1">
        <f t="array" ref="V487">IFERROR(INDEX($C$2:$C$501,SMALL(IF($D$2:$D$501="Germany",ROW($D$2:$D$501)-1),ROW()-1)),"")</f>
        <v/>
      </c>
      <c r="W487" t="str" cm="1">
        <f t="array" ref="W487">IFERROR(INDEX($C$2:$C$501,SMALL(IF($D$2:$D$501="Spain",ROW($D$2:$D$501)-1),ROW()-1)),"")</f>
        <v/>
      </c>
    </row>
    <row r="488" spans="1:23" x14ac:dyDescent="0.35">
      <c r="A488">
        <v>487</v>
      </c>
      <c r="B488" t="s">
        <v>14</v>
      </c>
      <c r="C488">
        <v>717</v>
      </c>
      <c r="D488" t="s">
        <v>23</v>
      </c>
      <c r="E488" t="s">
        <v>26</v>
      </c>
      <c r="F488">
        <v>55</v>
      </c>
      <c r="G488">
        <v>3</v>
      </c>
      <c r="H488">
        <v>117513.1</v>
      </c>
      <c r="I488">
        <v>1</v>
      </c>
      <c r="J488">
        <v>0</v>
      </c>
      <c r="K488">
        <v>0</v>
      </c>
      <c r="L488">
        <v>143986.04</v>
      </c>
      <c r="M488">
        <v>1</v>
      </c>
      <c r="O488">
        <f t="shared" si="14"/>
        <v>143986.04</v>
      </c>
      <c r="P488" t="str">
        <f t="shared" si="15"/>
        <v/>
      </c>
      <c r="R488" t="str">
        <f t="array" ref="R488">IFERROR(INDEX($L$2:$L$501,SMALL(IF($M$2:$M$501=1,ROW($M$2:$M$501)-1),ROW()-1)),"")</f>
        <v/>
      </c>
      <c r="S488" t="str" cm="1">
        <f t="array" ref="S488">IFERROR(INDEX($L$2:$L$501,SMALL(IF($M$2:$M$501=0,ROW($M$2:$M$501)-1),ROW()-1)),"")</f>
        <v/>
      </c>
      <c r="U488" t="str" cm="1">
        <f t="array" ref="U488">IFERROR(INDEX($C$2:$C$501,SMALL(IF($D$2:$D$501="France",ROW($D$2:$D$501)-1),ROW()-1)),"")</f>
        <v/>
      </c>
      <c r="V488" t="str" cm="1">
        <f t="array" ref="V488">IFERROR(INDEX($C$2:$C$501,SMALL(IF($D$2:$D$501="Germany",ROW($D$2:$D$501)-1),ROW()-1)),"")</f>
        <v/>
      </c>
      <c r="W488" t="str" cm="1">
        <f t="array" ref="W488">IFERROR(INDEX($C$2:$C$501,SMALL(IF($D$2:$D$501="Spain",ROW($D$2:$D$501)-1),ROW()-1)),"")</f>
        <v/>
      </c>
    </row>
    <row r="489" spans="1:23" x14ac:dyDescent="0.35">
      <c r="A489">
        <v>488</v>
      </c>
      <c r="B489" t="s">
        <v>16</v>
      </c>
      <c r="C489">
        <v>797</v>
      </c>
      <c r="D489" t="s">
        <v>23</v>
      </c>
      <c r="E489" t="s">
        <v>26</v>
      </c>
      <c r="F489">
        <v>32</v>
      </c>
      <c r="G489">
        <v>8</v>
      </c>
      <c r="H489">
        <v>236925.82</v>
      </c>
      <c r="I489">
        <v>1</v>
      </c>
      <c r="J489">
        <v>0</v>
      </c>
      <c r="K489">
        <v>1</v>
      </c>
      <c r="L489">
        <v>46753.37</v>
      </c>
      <c r="M489">
        <v>1</v>
      </c>
      <c r="O489">
        <f t="shared" si="14"/>
        <v>46753.37</v>
      </c>
      <c r="P489" t="str">
        <f t="shared" si="15"/>
        <v/>
      </c>
      <c r="R489" t="str">
        <f t="array" ref="R489">IFERROR(INDEX($L$2:$L$501,SMALL(IF($M$2:$M$501=1,ROW($M$2:$M$501)-1),ROW()-1)),"")</f>
        <v/>
      </c>
      <c r="S489" t="str" cm="1">
        <f t="array" ref="S489">IFERROR(INDEX($L$2:$L$501,SMALL(IF($M$2:$M$501=0,ROW($M$2:$M$501)-1),ROW()-1)),"")</f>
        <v/>
      </c>
      <c r="U489" t="str" cm="1">
        <f t="array" ref="U489">IFERROR(INDEX($C$2:$C$501,SMALL(IF($D$2:$D$501="France",ROW($D$2:$D$501)-1),ROW()-1)),"")</f>
        <v/>
      </c>
      <c r="V489" t="str" cm="1">
        <f t="array" ref="V489">IFERROR(INDEX($C$2:$C$501,SMALL(IF($D$2:$D$501="Germany",ROW($D$2:$D$501)-1),ROW()-1)),"")</f>
        <v/>
      </c>
      <c r="W489" t="str" cm="1">
        <f t="array" ref="W489">IFERROR(INDEX($C$2:$C$501,SMALL(IF($D$2:$D$501="Spain",ROW($D$2:$D$501)-1),ROW()-1)),"")</f>
        <v/>
      </c>
    </row>
    <row r="490" spans="1:23" x14ac:dyDescent="0.35">
      <c r="A490">
        <v>489</v>
      </c>
      <c r="B490" t="s">
        <v>15</v>
      </c>
      <c r="C490">
        <v>760</v>
      </c>
      <c r="D490" t="s">
        <v>24</v>
      </c>
      <c r="E490" t="s">
        <v>25</v>
      </c>
      <c r="F490">
        <v>54</v>
      </c>
      <c r="G490">
        <v>5</v>
      </c>
      <c r="H490">
        <v>200253.42</v>
      </c>
      <c r="I490">
        <v>1</v>
      </c>
      <c r="J490">
        <v>1</v>
      </c>
      <c r="K490">
        <v>1</v>
      </c>
      <c r="L490">
        <v>105135.87</v>
      </c>
      <c r="M490">
        <v>0</v>
      </c>
      <c r="O490" t="str">
        <f t="shared" si="14"/>
        <v/>
      </c>
      <c r="P490">
        <f t="shared" si="15"/>
        <v>105135.87</v>
      </c>
      <c r="R490" t="str">
        <f t="array" ref="R490">IFERROR(INDEX($L$2:$L$501,SMALL(IF($M$2:$M$501=1,ROW($M$2:$M$501)-1),ROW()-1)),"")</f>
        <v/>
      </c>
      <c r="S490" t="str" cm="1">
        <f t="array" ref="S490">IFERROR(INDEX($L$2:$L$501,SMALL(IF($M$2:$M$501=0,ROW($M$2:$M$501)-1),ROW()-1)),"")</f>
        <v/>
      </c>
      <c r="U490" t="str" cm="1">
        <f t="array" ref="U490">IFERROR(INDEX($C$2:$C$501,SMALL(IF($D$2:$D$501="France",ROW($D$2:$D$501)-1),ROW()-1)),"")</f>
        <v/>
      </c>
      <c r="V490" t="str" cm="1">
        <f t="array" ref="V490">IFERROR(INDEX($C$2:$C$501,SMALL(IF($D$2:$D$501="Germany",ROW($D$2:$D$501)-1),ROW()-1)),"")</f>
        <v/>
      </c>
      <c r="W490" t="str" cm="1">
        <f t="array" ref="W490">IFERROR(INDEX($C$2:$C$501,SMALL(IF($D$2:$D$501="Spain",ROW($D$2:$D$501)-1),ROW()-1)),"")</f>
        <v/>
      </c>
    </row>
    <row r="491" spans="1:23" x14ac:dyDescent="0.35">
      <c r="A491">
        <v>490</v>
      </c>
      <c r="B491" t="s">
        <v>19</v>
      </c>
      <c r="C491">
        <v>567</v>
      </c>
      <c r="D491" t="s">
        <v>24</v>
      </c>
      <c r="E491" t="s">
        <v>25</v>
      </c>
      <c r="F491">
        <v>22</v>
      </c>
      <c r="G491">
        <v>9</v>
      </c>
      <c r="H491">
        <v>67796.41</v>
      </c>
      <c r="I491">
        <v>4</v>
      </c>
      <c r="J491">
        <v>1</v>
      </c>
      <c r="K491">
        <v>1</v>
      </c>
      <c r="L491">
        <v>125551.64</v>
      </c>
      <c r="M491">
        <v>0</v>
      </c>
      <c r="O491" t="str">
        <f t="shared" si="14"/>
        <v/>
      </c>
      <c r="P491">
        <f t="shared" si="15"/>
        <v>125551.64</v>
      </c>
      <c r="R491" t="str">
        <f t="array" ref="R491">IFERROR(INDEX($L$2:$L$501,SMALL(IF($M$2:$M$501=1,ROW($M$2:$M$501)-1),ROW()-1)),"")</f>
        <v/>
      </c>
      <c r="S491" t="str" cm="1">
        <f t="array" ref="S491">IFERROR(INDEX($L$2:$L$501,SMALL(IF($M$2:$M$501=0,ROW($M$2:$M$501)-1),ROW()-1)),"")</f>
        <v/>
      </c>
      <c r="U491" t="str" cm="1">
        <f t="array" ref="U491">IFERROR(INDEX($C$2:$C$501,SMALL(IF($D$2:$D$501="France",ROW($D$2:$D$501)-1),ROW()-1)),"")</f>
        <v/>
      </c>
      <c r="V491" t="str" cm="1">
        <f t="array" ref="V491">IFERROR(INDEX($C$2:$C$501,SMALL(IF($D$2:$D$501="Germany",ROW($D$2:$D$501)-1),ROW()-1)),"")</f>
        <v/>
      </c>
      <c r="W491" t="str" cm="1">
        <f t="array" ref="W491">IFERROR(INDEX($C$2:$C$501,SMALL(IF($D$2:$D$501="Spain",ROW($D$2:$D$501)-1),ROW()-1)),"")</f>
        <v/>
      </c>
    </row>
    <row r="492" spans="1:23" x14ac:dyDescent="0.35">
      <c r="A492">
        <v>491</v>
      </c>
      <c r="B492" t="s">
        <v>19</v>
      </c>
      <c r="C492">
        <v>695</v>
      </c>
      <c r="D492" t="s">
        <v>22</v>
      </c>
      <c r="E492" t="s">
        <v>25</v>
      </c>
      <c r="F492">
        <v>65</v>
      </c>
      <c r="G492">
        <v>5</v>
      </c>
      <c r="H492">
        <v>57896.34</v>
      </c>
      <c r="I492">
        <v>4</v>
      </c>
      <c r="J492">
        <v>1</v>
      </c>
      <c r="K492">
        <v>1</v>
      </c>
      <c r="L492">
        <v>39633.65</v>
      </c>
      <c r="M492">
        <v>0</v>
      </c>
      <c r="O492" t="str">
        <f t="shared" si="14"/>
        <v/>
      </c>
      <c r="P492">
        <f t="shared" si="15"/>
        <v>39633.65</v>
      </c>
      <c r="R492" t="str">
        <f t="array" ref="R492">IFERROR(INDEX($L$2:$L$501,SMALL(IF($M$2:$M$501=1,ROW($M$2:$M$501)-1),ROW()-1)),"")</f>
        <v/>
      </c>
      <c r="S492" t="str" cm="1">
        <f t="array" ref="S492">IFERROR(INDEX($L$2:$L$501,SMALL(IF($M$2:$M$501=0,ROW($M$2:$M$501)-1),ROW()-1)),"")</f>
        <v/>
      </c>
      <c r="U492" t="str" cm="1">
        <f t="array" ref="U492">IFERROR(INDEX($C$2:$C$501,SMALL(IF($D$2:$D$501="France",ROW($D$2:$D$501)-1),ROW()-1)),"")</f>
        <v/>
      </c>
      <c r="V492" t="str" cm="1">
        <f t="array" ref="V492">IFERROR(INDEX($C$2:$C$501,SMALL(IF($D$2:$D$501="Germany",ROW($D$2:$D$501)-1),ROW()-1)),"")</f>
        <v/>
      </c>
      <c r="W492" t="str" cm="1">
        <f t="array" ref="W492">IFERROR(INDEX($C$2:$C$501,SMALL(IF($D$2:$D$501="Spain",ROW($D$2:$D$501)-1),ROW()-1)),"")</f>
        <v/>
      </c>
    </row>
    <row r="493" spans="1:23" x14ac:dyDescent="0.35">
      <c r="A493">
        <v>492</v>
      </c>
      <c r="B493" t="s">
        <v>17</v>
      </c>
      <c r="C493">
        <v>484</v>
      </c>
      <c r="D493" t="s">
        <v>23</v>
      </c>
      <c r="E493" t="s">
        <v>26</v>
      </c>
      <c r="F493">
        <v>18</v>
      </c>
      <c r="G493">
        <v>1</v>
      </c>
      <c r="H493">
        <v>49654.19</v>
      </c>
      <c r="I493">
        <v>3</v>
      </c>
      <c r="J493">
        <v>0</v>
      </c>
      <c r="K493">
        <v>1</v>
      </c>
      <c r="L493">
        <v>81684.84</v>
      </c>
      <c r="M493">
        <v>1</v>
      </c>
      <c r="O493">
        <f t="shared" si="14"/>
        <v>81684.84</v>
      </c>
      <c r="P493" t="str">
        <f t="shared" si="15"/>
        <v/>
      </c>
      <c r="R493" t="str">
        <f t="array" ref="R493">IFERROR(INDEX($L$2:$L$501,SMALL(IF($M$2:$M$501=1,ROW($M$2:$M$501)-1),ROW()-1)),"")</f>
        <v/>
      </c>
      <c r="S493" t="str" cm="1">
        <f t="array" ref="S493">IFERROR(INDEX($L$2:$L$501,SMALL(IF($M$2:$M$501=0,ROW($M$2:$M$501)-1),ROW()-1)),"")</f>
        <v/>
      </c>
      <c r="U493" t="str" cm="1">
        <f t="array" ref="U493">IFERROR(INDEX($C$2:$C$501,SMALL(IF($D$2:$D$501="France",ROW($D$2:$D$501)-1),ROW()-1)),"")</f>
        <v/>
      </c>
      <c r="V493" t="str" cm="1">
        <f t="array" ref="V493">IFERROR(INDEX($C$2:$C$501,SMALL(IF($D$2:$D$501="Germany",ROW($D$2:$D$501)-1),ROW()-1)),"")</f>
        <v/>
      </c>
      <c r="W493" t="str" cm="1">
        <f t="array" ref="W493">IFERROR(INDEX($C$2:$C$501,SMALL(IF($D$2:$D$501="Spain",ROW($D$2:$D$501)-1),ROW()-1)),"")</f>
        <v/>
      </c>
    </row>
    <row r="494" spans="1:23" x14ac:dyDescent="0.35">
      <c r="A494">
        <v>493</v>
      </c>
      <c r="B494" t="s">
        <v>14</v>
      </c>
      <c r="C494">
        <v>566</v>
      </c>
      <c r="D494" t="s">
        <v>24</v>
      </c>
      <c r="E494" t="s">
        <v>26</v>
      </c>
      <c r="F494">
        <v>67</v>
      </c>
      <c r="G494">
        <v>8</v>
      </c>
      <c r="H494">
        <v>107431.37</v>
      </c>
      <c r="I494">
        <v>2</v>
      </c>
      <c r="J494">
        <v>1</v>
      </c>
      <c r="K494">
        <v>0</v>
      </c>
      <c r="L494">
        <v>136772.28</v>
      </c>
      <c r="M494">
        <v>0</v>
      </c>
      <c r="O494" t="str">
        <f t="shared" si="14"/>
        <v/>
      </c>
      <c r="P494">
        <f t="shared" si="15"/>
        <v>136772.28</v>
      </c>
      <c r="R494" t="str">
        <f t="array" ref="R494">IFERROR(INDEX($L$2:$L$501,SMALL(IF($M$2:$M$501=1,ROW($M$2:$M$501)-1),ROW()-1)),"")</f>
        <v/>
      </c>
      <c r="S494" t="str" cm="1">
        <f t="array" ref="S494">IFERROR(INDEX($L$2:$L$501,SMALL(IF($M$2:$M$501=0,ROW($M$2:$M$501)-1),ROW()-1)),"")</f>
        <v/>
      </c>
      <c r="U494" t="str" cm="1">
        <f t="array" ref="U494">IFERROR(INDEX($C$2:$C$501,SMALL(IF($D$2:$D$501="France",ROW($D$2:$D$501)-1),ROW()-1)),"")</f>
        <v/>
      </c>
      <c r="V494" t="str" cm="1">
        <f t="array" ref="V494">IFERROR(INDEX($C$2:$C$501,SMALL(IF($D$2:$D$501="Germany",ROW($D$2:$D$501)-1),ROW()-1)),"")</f>
        <v/>
      </c>
      <c r="W494" t="str" cm="1">
        <f t="array" ref="W494">IFERROR(INDEX($C$2:$C$501,SMALL(IF($D$2:$D$501="Spain",ROW($D$2:$D$501)-1),ROW()-1)),"")</f>
        <v/>
      </c>
    </row>
    <row r="495" spans="1:23" x14ac:dyDescent="0.35">
      <c r="A495">
        <v>494</v>
      </c>
      <c r="B495" t="s">
        <v>19</v>
      </c>
      <c r="C495">
        <v>813</v>
      </c>
      <c r="D495" t="s">
        <v>22</v>
      </c>
      <c r="E495" t="s">
        <v>25</v>
      </c>
      <c r="F495">
        <v>55</v>
      </c>
      <c r="G495">
        <v>10</v>
      </c>
      <c r="H495">
        <v>201976.42</v>
      </c>
      <c r="I495">
        <v>3</v>
      </c>
      <c r="J495">
        <v>0</v>
      </c>
      <c r="K495">
        <v>1</v>
      </c>
      <c r="L495">
        <v>131084.15</v>
      </c>
      <c r="M495">
        <v>0</v>
      </c>
      <c r="O495" t="str">
        <f t="shared" si="14"/>
        <v/>
      </c>
      <c r="P495">
        <f t="shared" si="15"/>
        <v>131084.15</v>
      </c>
      <c r="R495" t="str">
        <f t="array" ref="R495">IFERROR(INDEX($L$2:$L$501,SMALL(IF($M$2:$M$501=1,ROW($M$2:$M$501)-1),ROW()-1)),"")</f>
        <v/>
      </c>
      <c r="S495" t="str" cm="1">
        <f t="array" ref="S495">IFERROR(INDEX($L$2:$L$501,SMALL(IF($M$2:$M$501=0,ROW($M$2:$M$501)-1),ROW()-1)),"")</f>
        <v/>
      </c>
      <c r="U495" t="str" cm="1">
        <f t="array" ref="U495">IFERROR(INDEX($C$2:$C$501,SMALL(IF($D$2:$D$501="France",ROW($D$2:$D$501)-1),ROW()-1)),"")</f>
        <v/>
      </c>
      <c r="V495" t="str" cm="1">
        <f t="array" ref="V495">IFERROR(INDEX($C$2:$C$501,SMALL(IF($D$2:$D$501="Germany",ROW($D$2:$D$501)-1),ROW()-1)),"")</f>
        <v/>
      </c>
      <c r="W495" t="str" cm="1">
        <f t="array" ref="W495">IFERROR(INDEX($C$2:$C$501,SMALL(IF($D$2:$D$501="Spain",ROW($D$2:$D$501)-1),ROW()-1)),"")</f>
        <v/>
      </c>
    </row>
    <row r="496" spans="1:23" x14ac:dyDescent="0.35">
      <c r="A496">
        <v>495</v>
      </c>
      <c r="B496" t="s">
        <v>13</v>
      </c>
      <c r="C496">
        <v>451</v>
      </c>
      <c r="D496" t="s">
        <v>22</v>
      </c>
      <c r="E496" t="s">
        <v>25</v>
      </c>
      <c r="F496">
        <v>62</v>
      </c>
      <c r="G496">
        <v>7</v>
      </c>
      <c r="H496">
        <v>38075.550000000003</v>
      </c>
      <c r="I496">
        <v>2</v>
      </c>
      <c r="J496">
        <v>0</v>
      </c>
      <c r="K496">
        <v>1</v>
      </c>
      <c r="L496">
        <v>11580.61</v>
      </c>
      <c r="M496">
        <v>0</v>
      </c>
      <c r="O496" t="str">
        <f t="shared" si="14"/>
        <v/>
      </c>
      <c r="P496">
        <f t="shared" si="15"/>
        <v>11580.61</v>
      </c>
      <c r="R496" t="str">
        <f t="array" ref="R496">IFERROR(INDEX($L$2:$L$501,SMALL(IF($M$2:$M$501=1,ROW($M$2:$M$501)-1),ROW()-1)),"")</f>
        <v/>
      </c>
      <c r="S496" t="str" cm="1">
        <f t="array" ref="S496">IFERROR(INDEX($L$2:$L$501,SMALL(IF($M$2:$M$501=0,ROW($M$2:$M$501)-1),ROW()-1)),"")</f>
        <v/>
      </c>
      <c r="U496" t="str" cm="1">
        <f t="array" ref="U496">IFERROR(INDEX($C$2:$C$501,SMALL(IF($D$2:$D$501="France",ROW($D$2:$D$501)-1),ROW()-1)),"")</f>
        <v/>
      </c>
      <c r="V496" t="str" cm="1">
        <f t="array" ref="V496">IFERROR(INDEX($C$2:$C$501,SMALL(IF($D$2:$D$501="Germany",ROW($D$2:$D$501)-1),ROW()-1)),"")</f>
        <v/>
      </c>
      <c r="W496" t="str" cm="1">
        <f t="array" ref="W496">IFERROR(INDEX($C$2:$C$501,SMALL(IF($D$2:$D$501="Spain",ROW($D$2:$D$501)-1),ROW()-1)),"")</f>
        <v/>
      </c>
    </row>
    <row r="497" spans="1:23" x14ac:dyDescent="0.35">
      <c r="A497">
        <v>496</v>
      </c>
      <c r="B497" t="s">
        <v>20</v>
      </c>
      <c r="C497">
        <v>647</v>
      </c>
      <c r="D497" t="s">
        <v>22</v>
      </c>
      <c r="E497" t="s">
        <v>25</v>
      </c>
      <c r="F497">
        <v>87</v>
      </c>
      <c r="G497">
        <v>7</v>
      </c>
      <c r="H497">
        <v>154264.92000000001</v>
      </c>
      <c r="I497">
        <v>2</v>
      </c>
      <c r="J497">
        <v>1</v>
      </c>
      <c r="K497">
        <v>0</v>
      </c>
      <c r="L497">
        <v>97382.98</v>
      </c>
      <c r="M497">
        <v>1</v>
      </c>
      <c r="O497">
        <f t="shared" si="14"/>
        <v>97382.98</v>
      </c>
      <c r="P497" t="str">
        <f t="shared" si="15"/>
        <v/>
      </c>
      <c r="R497" t="str">
        <f t="array" ref="R497">IFERROR(INDEX($L$2:$L$501,SMALL(IF($M$2:$M$501=1,ROW($M$2:$M$501)-1),ROW()-1)),"")</f>
        <v/>
      </c>
      <c r="S497" t="str" cm="1">
        <f t="array" ref="S497">IFERROR(INDEX($L$2:$L$501,SMALL(IF($M$2:$M$501=0,ROW($M$2:$M$501)-1),ROW()-1)),"")</f>
        <v/>
      </c>
      <c r="U497" t="str" cm="1">
        <f t="array" ref="U497">IFERROR(INDEX($C$2:$C$501,SMALL(IF($D$2:$D$501="France",ROW($D$2:$D$501)-1),ROW()-1)),"")</f>
        <v/>
      </c>
      <c r="V497" t="str" cm="1">
        <f t="array" ref="V497">IFERROR(INDEX($C$2:$C$501,SMALL(IF($D$2:$D$501="Germany",ROW($D$2:$D$501)-1),ROW()-1)),"")</f>
        <v/>
      </c>
      <c r="W497" t="str" cm="1">
        <f t="array" ref="W497">IFERROR(INDEX($C$2:$C$501,SMALL(IF($D$2:$D$501="Spain",ROW($D$2:$D$501)-1),ROW()-1)),"")</f>
        <v/>
      </c>
    </row>
    <row r="498" spans="1:23" x14ac:dyDescent="0.35">
      <c r="A498">
        <v>497</v>
      </c>
      <c r="B498" t="s">
        <v>13</v>
      </c>
      <c r="C498">
        <v>751</v>
      </c>
      <c r="D498" t="s">
        <v>23</v>
      </c>
      <c r="E498" t="s">
        <v>26</v>
      </c>
      <c r="F498">
        <v>34</v>
      </c>
      <c r="G498">
        <v>1</v>
      </c>
      <c r="H498">
        <v>118072.6</v>
      </c>
      <c r="I498">
        <v>3</v>
      </c>
      <c r="J498">
        <v>0</v>
      </c>
      <c r="K498">
        <v>1</v>
      </c>
      <c r="L498">
        <v>98955.37</v>
      </c>
      <c r="M498">
        <v>1</v>
      </c>
      <c r="O498">
        <f t="shared" si="14"/>
        <v>98955.37</v>
      </c>
      <c r="P498" t="str">
        <f t="shared" si="15"/>
        <v/>
      </c>
      <c r="R498" t="str">
        <f t="array" ref="R498">IFERROR(INDEX($L$2:$L$501,SMALL(IF($M$2:$M$501=1,ROW($M$2:$M$501)-1),ROW()-1)),"")</f>
        <v/>
      </c>
      <c r="S498" t="str" cm="1">
        <f t="array" ref="S498">IFERROR(INDEX($L$2:$L$501,SMALL(IF($M$2:$M$501=0,ROW($M$2:$M$501)-1),ROW()-1)),"")</f>
        <v/>
      </c>
      <c r="U498" t="str" cm="1">
        <f t="array" ref="U498">IFERROR(INDEX($C$2:$C$501,SMALL(IF($D$2:$D$501="France",ROW($D$2:$D$501)-1),ROW()-1)),"")</f>
        <v/>
      </c>
      <c r="V498" t="str" cm="1">
        <f t="array" ref="V498">IFERROR(INDEX($C$2:$C$501,SMALL(IF($D$2:$D$501="Germany",ROW($D$2:$D$501)-1),ROW()-1)),"")</f>
        <v/>
      </c>
      <c r="W498" t="str" cm="1">
        <f t="array" ref="W498">IFERROR(INDEX($C$2:$C$501,SMALL(IF($D$2:$D$501="Spain",ROW($D$2:$D$501)-1),ROW()-1)),"")</f>
        <v/>
      </c>
    </row>
    <row r="499" spans="1:23" x14ac:dyDescent="0.35">
      <c r="A499">
        <v>498</v>
      </c>
      <c r="B499" t="s">
        <v>15</v>
      </c>
      <c r="C499">
        <v>814</v>
      </c>
      <c r="D499" t="s">
        <v>23</v>
      </c>
      <c r="E499" t="s">
        <v>26</v>
      </c>
      <c r="F499">
        <v>34</v>
      </c>
      <c r="G499">
        <v>9</v>
      </c>
      <c r="H499">
        <v>161580.20000000001</v>
      </c>
      <c r="I499">
        <v>3</v>
      </c>
      <c r="J499">
        <v>0</v>
      </c>
      <c r="K499">
        <v>0</v>
      </c>
      <c r="L499">
        <v>148752.49</v>
      </c>
      <c r="M499">
        <v>0</v>
      </c>
      <c r="O499" t="str">
        <f t="shared" si="14"/>
        <v/>
      </c>
      <c r="P499">
        <f t="shared" si="15"/>
        <v>148752.49</v>
      </c>
      <c r="R499" t="str">
        <f t="array" ref="R499">IFERROR(INDEX($L$2:$L$501,SMALL(IF($M$2:$M$501=1,ROW($M$2:$M$501)-1),ROW()-1)),"")</f>
        <v/>
      </c>
      <c r="S499" t="str" cm="1">
        <f t="array" ref="S499">IFERROR(INDEX($L$2:$L$501,SMALL(IF($M$2:$M$501=0,ROW($M$2:$M$501)-1),ROW()-1)),"")</f>
        <v/>
      </c>
      <c r="U499" t="str" cm="1">
        <f t="array" ref="U499">IFERROR(INDEX($C$2:$C$501,SMALL(IF($D$2:$D$501="France",ROW($D$2:$D$501)-1),ROW()-1)),"")</f>
        <v/>
      </c>
      <c r="V499" t="str" cm="1">
        <f t="array" ref="V499">IFERROR(INDEX($C$2:$C$501,SMALL(IF($D$2:$D$501="Germany",ROW($D$2:$D$501)-1),ROW()-1)),"")</f>
        <v/>
      </c>
      <c r="W499" t="str" cm="1">
        <f t="array" ref="W499">IFERROR(INDEX($C$2:$C$501,SMALL(IF($D$2:$D$501="Spain",ROW($D$2:$D$501)-1),ROW()-1)),"")</f>
        <v/>
      </c>
    </row>
    <row r="500" spans="1:23" x14ac:dyDescent="0.35">
      <c r="A500">
        <v>499</v>
      </c>
      <c r="B500" t="s">
        <v>19</v>
      </c>
      <c r="C500">
        <v>718</v>
      </c>
      <c r="D500" t="s">
        <v>23</v>
      </c>
      <c r="E500" t="s">
        <v>25</v>
      </c>
      <c r="F500">
        <v>28</v>
      </c>
      <c r="G500">
        <v>0</v>
      </c>
      <c r="H500">
        <v>100871.3</v>
      </c>
      <c r="I500">
        <v>4</v>
      </c>
      <c r="J500">
        <v>0</v>
      </c>
      <c r="K500">
        <v>0</v>
      </c>
      <c r="L500">
        <v>106391.64</v>
      </c>
      <c r="M500">
        <v>1</v>
      </c>
      <c r="O500">
        <f t="shared" si="14"/>
        <v>106391.64</v>
      </c>
      <c r="P500" t="str">
        <f t="shared" si="15"/>
        <v/>
      </c>
      <c r="R500" t="str">
        <f t="array" ref="R500">IFERROR(INDEX($L$2:$L$501,SMALL(IF($M$2:$M$501=1,ROW($M$2:$M$501)-1),ROW()-1)),"")</f>
        <v/>
      </c>
      <c r="S500" t="str" cm="1">
        <f t="array" ref="S500">IFERROR(INDEX($L$2:$L$501,SMALL(IF($M$2:$M$501=0,ROW($M$2:$M$501)-1),ROW()-1)),"")</f>
        <v/>
      </c>
      <c r="U500" t="str" cm="1">
        <f t="array" ref="U500">IFERROR(INDEX($C$2:$C$501,SMALL(IF($D$2:$D$501="France",ROW($D$2:$D$501)-1),ROW()-1)),"")</f>
        <v/>
      </c>
      <c r="V500" t="str" cm="1">
        <f t="array" ref="V500">IFERROR(INDEX($C$2:$C$501,SMALL(IF($D$2:$D$501="Germany",ROW($D$2:$D$501)-1),ROW()-1)),"")</f>
        <v/>
      </c>
      <c r="W500" t="str" cm="1">
        <f t="array" ref="W500">IFERROR(INDEX($C$2:$C$501,SMALL(IF($D$2:$D$501="Spain",ROW($D$2:$D$501)-1),ROW()-1)),"")</f>
        <v/>
      </c>
    </row>
    <row r="501" spans="1:23" x14ac:dyDescent="0.35">
      <c r="A501">
        <v>500</v>
      </c>
      <c r="B501" t="s">
        <v>12</v>
      </c>
      <c r="C501">
        <v>393</v>
      </c>
      <c r="D501" t="s">
        <v>22</v>
      </c>
      <c r="E501" t="s">
        <v>25</v>
      </c>
      <c r="F501">
        <v>23</v>
      </c>
      <c r="G501">
        <v>9</v>
      </c>
      <c r="H501">
        <v>189955.55</v>
      </c>
      <c r="I501">
        <v>3</v>
      </c>
      <c r="J501">
        <v>1</v>
      </c>
      <c r="K501">
        <v>1</v>
      </c>
      <c r="L501">
        <v>85565.14</v>
      </c>
      <c r="M501">
        <v>1</v>
      </c>
      <c r="O501">
        <f t="shared" si="14"/>
        <v>85565.14</v>
      </c>
      <c r="P501" t="str">
        <f t="shared" si="15"/>
        <v/>
      </c>
      <c r="R501" t="str">
        <f t="array" ref="R501">IFERROR(INDEX($L$2:$L$501,SMALL(IF($M$2:$M$501=1,ROW($M$2:$M$501)-1),ROW()-1)),"")</f>
        <v/>
      </c>
      <c r="S501" t="str" cm="1">
        <f t="array" ref="S501">IFERROR(INDEX($L$2:$L$501,SMALL(IF($M$2:$M$501=0,ROW($M$2:$M$501)-1),ROW()-1)),"")</f>
        <v/>
      </c>
      <c r="U501" t="str" cm="1">
        <f t="array" ref="U501">IFERROR(INDEX($C$2:$C$501,SMALL(IF($D$2:$D$501="France",ROW($D$2:$D$501)-1),ROW()-1)),"")</f>
        <v/>
      </c>
      <c r="V501" t="str" cm="1">
        <f t="array" ref="V501">IFERROR(INDEX($C$2:$C$501,SMALL(IF($D$2:$D$501="Germany",ROW($D$2:$D$501)-1),ROW()-1)),"")</f>
        <v/>
      </c>
      <c r="W501" t="str" cm="1">
        <f t="array" ref="W501">IFERROR(INDEX($C$2:$C$501,SMALL(IF($D$2:$D$501="Spain",ROW($D$2:$D$501)-1),ROW()-1)),"")</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RQ1</vt:lpstr>
      <vt:lpstr>RQ2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Iyinoluwa Don-Taiwo</dc:creator>
  <cp:lastModifiedBy>Don-Taiwoij Don-Taiwo</cp:lastModifiedBy>
  <dcterms:created xsi:type="dcterms:W3CDTF">2024-03-01T15:46:12Z</dcterms:created>
  <dcterms:modified xsi:type="dcterms:W3CDTF">2026-03-15T22:46:35Z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2024-03-01T15:51:53Z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54ae5a51-1003-4027-8c2c-f56b95709b25</vt:lpwstr>
  </property>
  <property fmtid="{D5CDD505-2E9C-101B-9397-08002B2CF9AE}" pid="8" name="MSIP_Label_defa4170-0d19-0005-0004-bc88714345d2_ContentBits">
    <vt:lpwstr>0</vt:lpwstr>
  </property>
</Properties>
</file>